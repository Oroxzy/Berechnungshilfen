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BST Baustatik/"/>
    </mc:Choice>
  </mc:AlternateContent>
  <xr:revisionPtr revIDLastSave="0" documentId="13_ncr:1_{0C4FD534-07E7-984A-8931-FF3DEB1AFC6B}" xr6:coauthVersionLast="47" xr6:coauthVersionMax="47" xr10:uidLastSave="{00000000-0000-0000-0000-000000000000}"/>
  <bookViews>
    <workbookView xWindow="2980" yWindow="2160" windowWidth="28240" windowHeight="17240" xr2:uid="{2A8F06DB-3A59-E848-A5C2-9F275B987108}"/>
  </bookViews>
  <sheets>
    <sheet name="Tabelle1" sheetId="1" r:id="rId1"/>
  </sheets>
  <definedNames>
    <definedName name="_xleta.ROU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1" l="1"/>
  <c r="F13" i="1"/>
  <c r="F11" i="1"/>
  <c r="F15" i="1"/>
  <c r="F12" i="1" l="1"/>
  <c r="F17" i="1" s="1"/>
</calcChain>
</file>

<file path=xl/sharedStrings.xml><?xml version="1.0" encoding="utf-8"?>
<sst xmlns="http://schemas.openxmlformats.org/spreadsheetml/2006/main" count="7" uniqueCount="6">
  <si>
    <t>kN</t>
  </si>
  <si>
    <t>10^-3 =</t>
  </si>
  <si>
    <t>VRd,s =</t>
  </si>
  <si>
    <t>cotan(grad)</t>
  </si>
  <si>
    <t>N</t>
  </si>
  <si>
    <t>Vertikal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</si>
</sst>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1C3F9-5FFD-4A46-A5F9-2A130BAA1A18}">
  <dimension ref="E8:I17"/>
  <sheetViews>
    <sheetView tabSelected="1" zoomScale="125" workbookViewId="0">
      <selection activeCell="I8" sqref="I8"/>
    </sheetView>
  </sheetViews>
  <sheetFormatPr baseColWidth="10" defaultRowHeight="16" x14ac:dyDescent="0.2"/>
  <sheetData>
    <row r="8" spans="5:9" x14ac:dyDescent="0.2">
      <c r="E8" t="s">
        <v>5</v>
      </c>
      <c r="I8">
        <f>1 + 0.00318 * 1 * 405.9</f>
        <v>2.290762</v>
      </c>
    </row>
    <row r="11" spans="5:9" x14ac:dyDescent="0.2">
      <c r="F11">
        <f>157/100</f>
        <v>1.57</v>
      </c>
    </row>
    <row r="12" spans="5:9" x14ac:dyDescent="0.2">
      <c r="E12" t="s">
        <v>2</v>
      </c>
      <c r="F12">
        <f>F11*405.9*435*F13</f>
        <v>277209.40500000009</v>
      </c>
      <c r="G12" t="s">
        <v>4</v>
      </c>
    </row>
    <row r="13" spans="5:9" x14ac:dyDescent="0.2">
      <c r="E13" t="s">
        <v>3</v>
      </c>
      <c r="F13">
        <f>1/TAN(RADIANS(45))</f>
        <v>1.0000000000000002</v>
      </c>
    </row>
    <row r="15" spans="5:9" x14ac:dyDescent="0.2">
      <c r="E15" t="s">
        <v>1</v>
      </c>
      <c r="F15">
        <f>10^-3</f>
        <v>1E-3</v>
      </c>
    </row>
    <row r="17" spans="5:7" x14ac:dyDescent="0.2">
      <c r="E17" t="s">
        <v>2</v>
      </c>
      <c r="F17">
        <f>ROUND(F12*F15, 2)</f>
        <v>277.20999999999998</v>
      </c>
      <c r="G17" t="s"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Meile Jeremy</dc:creator>
  <cp:lastModifiedBy>Meile Jeremy</cp:lastModifiedBy>
  <dcterms:created xsi:type="dcterms:W3CDTF">2025-06-23T09:22:04Z</dcterms:created>
  <dcterms:modified xsi:type="dcterms:W3CDTF">2025-06-23T10:35:53Z</dcterms:modified>
</cp:coreProperties>
</file>