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 codeName="{873B2839-AC87-7CC4-5C0F-16DCB983174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BST Baustatik/"/>
    </mc:Choice>
  </mc:AlternateContent>
  <xr:revisionPtr revIDLastSave="0" documentId="13_ncr:1_{24934610-7C64-8940-8632-9B36DE0493DD}" xr6:coauthVersionLast="47" xr6:coauthVersionMax="47" xr10:uidLastSave="{00000000-0000-0000-0000-000000000000}"/>
  <bookViews>
    <workbookView xWindow="1040" yWindow="860" windowWidth="38400" windowHeight="23020" xr2:uid="{00000000-000D-0000-FFFF-FFFF00000000}"/>
  </bookViews>
  <sheets>
    <sheet name="Berechnungen" sheetId="1" r:id="rId1"/>
    <sheet name="lmperfektionsbeiwert aK" sheetId="7" r:id="rId2"/>
    <sheet name="Knickspannungskurve A" sheetId="6" r:id="rId3"/>
    <sheet name="Knickspannungskurve B" sheetId="4" r:id="rId4"/>
    <sheet name="Knickspannungskurve C" sheetId="5" r:id="rId5"/>
    <sheet name="Fliesschlankheit" sheetId="2" r:id="rId6"/>
    <sheet name="Profile" sheetId="3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5" i="1" l="1"/>
  <c r="E161" i="1"/>
  <c r="G141" i="1"/>
  <c r="E134" i="1"/>
  <c r="E147" i="1" l="1"/>
  <c r="E135" i="1"/>
  <c r="F106" i="1" a="1"/>
  <c r="F106" i="1" s="1"/>
  <c r="F105" i="1" a="1"/>
  <c r="F105" i="1" s="1"/>
  <c r="L28" i="1" s="1"/>
  <c r="F111" i="1" a="1"/>
  <c r="F111" i="1" s="1"/>
  <c r="F110" i="1" a="1"/>
  <c r="F110" i="1" s="1"/>
  <c r="L29" i="1" s="1"/>
  <c r="H36" i="1" l="1"/>
  <c r="H37" i="1"/>
  <c r="H38" i="1"/>
  <c r="H39" i="1"/>
  <c r="H40" i="1"/>
  <c r="H41" i="1"/>
  <c r="H42" i="1"/>
  <c r="H35" i="1"/>
  <c r="P98" i="1"/>
  <c r="O98" i="1"/>
  <c r="N98" i="1"/>
  <c r="M98" i="1"/>
  <c r="L98" i="1"/>
  <c r="P86" i="1"/>
  <c r="O86" i="1"/>
  <c r="N86" i="1"/>
  <c r="M86" i="1"/>
  <c r="L86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H43" i="1" l="1"/>
  <c r="F70" i="1"/>
  <c r="D70" i="1"/>
  <c r="F69" i="1"/>
  <c r="D69" i="1"/>
  <c r="D65" i="1"/>
  <c r="F65" i="1"/>
  <c r="F64" i="1"/>
  <c r="D64" i="1"/>
  <c r="D68" i="1"/>
  <c r="F68" i="1"/>
  <c r="F67" i="1"/>
  <c r="D67" i="1"/>
  <c r="F66" i="1"/>
  <c r="D66" i="1"/>
  <c r="F73" i="1"/>
  <c r="F72" i="1"/>
  <c r="F63" i="1"/>
  <c r="D72" i="1"/>
  <c r="D63" i="1"/>
  <c r="F51" i="1"/>
  <c r="D51" i="1"/>
  <c r="D54" i="1"/>
  <c r="F54" i="1"/>
  <c r="F50" i="1"/>
  <c r="D50" i="1"/>
  <c r="D55" i="1"/>
  <c r="F55" i="1"/>
  <c r="D53" i="1"/>
  <c r="F53" i="1"/>
  <c r="F59" i="1"/>
  <c r="F58" i="1"/>
  <c r="F49" i="1"/>
  <c r="D49" i="1"/>
  <c r="F52" i="1"/>
  <c r="D52" i="1"/>
  <c r="D56" i="1"/>
  <c r="F56" i="1"/>
  <c r="D58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L83" i="1"/>
  <c r="M83" i="1"/>
  <c r="N83" i="1"/>
  <c r="O83" i="1"/>
  <c r="P83" i="1"/>
  <c r="L95" i="1"/>
  <c r="M95" i="1"/>
  <c r="N95" i="1"/>
  <c r="O95" i="1"/>
  <c r="P95" i="1"/>
  <c r="P91" i="1"/>
  <c r="O91" i="1"/>
  <c r="N91" i="1"/>
  <c r="M91" i="1"/>
  <c r="L91" i="1"/>
  <c r="P79" i="1"/>
  <c r="O79" i="1"/>
  <c r="N79" i="1"/>
  <c r="M79" i="1"/>
  <c r="L79" i="1"/>
  <c r="D57" i="1" l="1"/>
  <c r="D59" i="1" s="1"/>
  <c r="N28" i="1" l="1"/>
  <c r="M28" i="1"/>
  <c r="D79" i="1"/>
  <c r="H79" i="1" s="1"/>
  <c r="D111" i="1"/>
  <c r="H111" i="1" s="1"/>
  <c r="D82" i="1"/>
  <c r="F82" i="1" s="1"/>
  <c r="D81" i="1"/>
  <c r="H81" i="1" s="1"/>
  <c r="D84" i="1"/>
  <c r="F84" i="1" s="1"/>
  <c r="D83" i="1"/>
  <c r="F83" i="1" s="1"/>
  <c r="D110" i="1"/>
  <c r="D80" i="1"/>
  <c r="F80" i="1" s="1"/>
  <c r="D86" i="1"/>
  <c r="D85" i="1"/>
  <c r="F85" i="1" s="1"/>
  <c r="D71" i="1"/>
  <c r="H84" i="1" l="1"/>
  <c r="H85" i="1"/>
  <c r="H110" i="1"/>
  <c r="D73" i="1"/>
  <c r="D105" i="1" s="1"/>
  <c r="F86" i="1"/>
  <c r="F79" i="1"/>
  <c r="H86" i="1"/>
  <c r="H82" i="1"/>
  <c r="F81" i="1"/>
  <c r="H80" i="1"/>
  <c r="H83" i="1"/>
  <c r="D98" i="1" l="1"/>
  <c r="H98" i="1" s="1"/>
  <c r="D92" i="1"/>
  <c r="F92" i="1" s="1"/>
  <c r="D106" i="1"/>
  <c r="H106" i="1" s="1"/>
  <c r="F87" i="1"/>
  <c r="D97" i="1"/>
  <c r="H97" i="1" s="1"/>
  <c r="H105" i="1"/>
  <c r="D95" i="1"/>
  <c r="F95" i="1" s="1"/>
  <c r="D94" i="1"/>
  <c r="F94" i="1" s="1"/>
  <c r="D96" i="1"/>
  <c r="F96" i="1" s="1"/>
  <c r="D91" i="1"/>
  <c r="H91" i="1" s="1"/>
  <c r="D93" i="1"/>
  <c r="H93" i="1" s="1"/>
  <c r="J125" i="1"/>
  <c r="J119" i="1"/>
  <c r="N29" i="1"/>
  <c r="M29" i="1"/>
  <c r="H92" i="1"/>
  <c r="G136" i="1" l="1"/>
  <c r="E136" i="1"/>
  <c r="F98" i="1"/>
  <c r="H87" i="1"/>
  <c r="H125" i="1"/>
  <c r="F124" i="1"/>
  <c r="H124" i="1"/>
  <c r="J124" i="1" s="1"/>
  <c r="F97" i="1"/>
  <c r="J111" i="1"/>
  <c r="I110" i="1"/>
  <c r="I111" i="1"/>
  <c r="J110" i="1"/>
  <c r="F125" i="1"/>
  <c r="H96" i="1"/>
  <c r="F91" i="1"/>
  <c r="F93" i="1"/>
  <c r="H95" i="1"/>
  <c r="H94" i="1"/>
  <c r="E139" i="1" l="1"/>
  <c r="G140" i="1" s="1"/>
  <c r="G139" i="1"/>
  <c r="E145" i="1"/>
  <c r="G146" i="1" s="1"/>
  <c r="G145" i="1"/>
  <c r="F99" i="1"/>
  <c r="G137" i="1" s="1"/>
  <c r="E146" i="1" l="1"/>
  <c r="G148" i="1" s="1"/>
  <c r="H119" i="1"/>
  <c r="E137" i="1"/>
  <c r="F118" i="1"/>
  <c r="J106" i="1"/>
  <c r="I105" i="1"/>
  <c r="J105" i="1"/>
  <c r="H118" i="1"/>
  <c r="F119" i="1"/>
  <c r="H99" i="1"/>
  <c r="I106" i="1"/>
  <c r="E140" i="1" l="1"/>
  <c r="E141" i="1" s="1"/>
  <c r="E153" i="1"/>
  <c r="G154" i="1" s="1"/>
  <c r="E159" i="1"/>
  <c r="G160" i="1" s="1"/>
  <c r="G153" i="1"/>
  <c r="G159" i="1"/>
  <c r="E148" i="1"/>
  <c r="G149" i="1" s="1"/>
  <c r="G142" i="1" l="1"/>
  <c r="E142" i="1"/>
  <c r="E160" i="1"/>
  <c r="G162" i="1" s="1"/>
  <c r="E154" i="1"/>
  <c r="E155" i="1" s="1"/>
  <c r="G156" i="1" s="1"/>
  <c r="E149" i="1"/>
  <c r="G143" i="1" l="1"/>
  <c r="E143" i="1"/>
  <c r="E156" i="1"/>
  <c r="G150" i="1"/>
  <c r="E150" i="1"/>
  <c r="E162" i="1"/>
  <c r="G157" i="1" l="1"/>
  <c r="E157" i="1"/>
  <c r="E151" i="1"/>
  <c r="G151" i="1"/>
  <c r="G163" i="1"/>
  <c r="E163" i="1"/>
  <c r="G164" i="1" l="1"/>
  <c r="E164" i="1"/>
  <c r="G165" i="1" l="1"/>
  <c r="E16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<sst xmlns="http://schemas.openxmlformats.org/spreadsheetml/2006/main" count="246" uniqueCount="137">
  <si>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</si>
  <si>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</si>
  <si>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</si>
  <si>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</si>
  <si>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</si>
  <si>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</si>
  <si>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</si>
  <si>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</si>
  <si>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</si>
  <si>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</si>
  <si>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</si>
  <si>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</si>
  <si>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</si>
  <si>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</si>
  <si>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</si>
  <si>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</si>
  <si>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</si>
  <si>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</si>
  <si>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</si>
  <si>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</si>
  <si>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</si>
  <si>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</si>
  <si>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</si>
  <si>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</si>
  <si>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</si>
  <si>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</si>
  <si>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</si>
  <si>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</si>
  <si>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</si>
  <si>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</si>
  <si>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</si>
  <si>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</si>
  <si>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</si>
  <si>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</si>
  <si>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</si>
  <si>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</si>
  <si>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</si>
  <si>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</si>
  <si>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</si>
  <si>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</si>
  <si>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</si>
  <si>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</si>
  <si>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</si>
  <si>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</si>
  <si>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</si>
  <si>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</si>
  <si>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</si>
  <si>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</si>
  <si>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mm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</si>
  <si>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</si>
  <si>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</si>
  <si>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</si>
  <si>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</si>
  <si>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</si>
  <si>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</si>
  <si>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</si>
  <si>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</si>
  <si>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</si>
  <si>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</si>
  <si>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</si>
  <si>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</si>
  <si>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</si>
  <si>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</si>
  <si>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</si>
  <si>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</si>
  <si>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</si>
  <si>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</si>
  <si>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</si>
  <si>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</si>
  <si>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</si>
  <si>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</si>
  <si>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</si>
  <si>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</si>
  <si>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</si>
  <si>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</si>
  <si>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</si>
  <si>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</si>
  <si>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</si>
  <si>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</si>
  <si>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kN</t>
  </si>
  <si>
    <t>Material</t>
  </si>
  <si>
    <t>f_y (N/mm²)</t>
  </si>
  <si>
    <t>λ_E</t>
  </si>
  <si>
    <t>S235</t>
  </si>
  <si>
    <t>S275</t>
  </si>
  <si>
    <t>S355</t>
  </si>
  <si>
    <t>S460</t>
  </si>
  <si>
    <t>HEA</t>
  </si>
  <si>
    <t>a</t>
  </si>
  <si>
    <t>HEB</t>
  </si>
  <si>
    <t>HEM</t>
  </si>
  <si>
    <t>IPE</t>
  </si>
  <si>
    <t>PEA</t>
  </si>
  <si>
    <t>RRW</t>
  </si>
  <si>
    <t>ROR</t>
  </si>
  <si>
    <t>b</t>
  </si>
  <si>
    <t>c</t>
  </si>
  <si>
    <t>Profiltyp</t>
  </si>
  <si>
    <t>Knickspannungskurve</t>
  </si>
  <si>
    <t>von</t>
  </si>
  <si>
    <t>bis</t>
  </si>
  <si>
    <t>Knickwiderstand</t>
  </si>
  <si>
    <t>Dezimalwert</t>
  </si>
  <si>
    <t>Knickbeiwert</t>
  </si>
  <si>
    <t>Imperfektionsbeiwert αK</t>
  </si>
  <si>
    <t>Stützenlänge</t>
  </si>
  <si>
    <t>Wert</t>
  </si>
  <si>
    <t>Was</t>
  </si>
  <si>
    <t>Einheit</t>
  </si>
  <si>
    <t xml:space="preserve">Fliessschlankheit (λE) </t>
  </si>
  <si>
    <t>Automatisch aus einer Tabelle!</t>
  </si>
  <si>
    <t>N/mm²</t>
  </si>
  <si>
    <t>Stabilitätsbeiwert (ΦK)</t>
  </si>
  <si>
    <t>Streckgrenze (fy)</t>
  </si>
  <si>
    <t>A</t>
  </si>
  <si>
    <t>B</t>
  </si>
  <si>
    <t>C</t>
  </si>
  <si>
    <t>D</t>
  </si>
  <si>
    <t>Knickschlankheit (λk)</t>
  </si>
  <si>
    <t>bezogene Knickschlankheit (λ_rel)</t>
  </si>
  <si>
    <t>Stahlsorte</t>
  </si>
  <si>
    <t>Widerstandsbeiwert (γM1)</t>
  </si>
  <si>
    <t>Tragwiderstand (NK,Rd)</t>
  </si>
  <si>
    <t>Knickspannung (σKd)</t>
  </si>
  <si>
    <t>kN/mm²</t>
  </si>
  <si>
    <t xml:space="preserve">Flächenschwerpunkt, Flächenträgheitsmoment, Widerstandsmoment, Knickwiderstand																	</t>
  </si>
  <si>
    <t>Sicherheitsfaktor</t>
  </si>
  <si>
    <r>
      <t>Abminderungsfaktors (</t>
    </r>
    <r>
      <rPr>
        <sz val="11"/>
        <color theme="1"/>
        <rFont val="Calibri"/>
        <family val="2"/>
        <scheme val="minor"/>
      </rPr>
      <t>χK)​</t>
    </r>
  </si>
  <si>
    <r>
      <t>Imperfektionsbeiwert (</t>
    </r>
    <r>
      <rPr>
        <sz val="11"/>
        <color theme="1"/>
        <rFont val="Calibri"/>
        <family val="2"/>
        <scheme val="minor"/>
      </rPr>
      <t>αK)</t>
    </r>
  </si>
  <si>
    <r>
      <t>Tragwiderstand (</t>
    </r>
    <r>
      <rPr>
        <sz val="11"/>
        <color theme="1"/>
        <rFont val="Calibri"/>
        <family val="2"/>
        <scheme val="minor"/>
      </rPr>
      <t>NK,Rd)</t>
    </r>
  </si>
  <si>
    <t>Trägheitsradius (iy)</t>
  </si>
  <si>
    <t>Trägheitsradius (iz)</t>
  </si>
  <si>
    <t>Knickwiderstand z, nach C4/06 Tabelle</t>
  </si>
  <si>
    <t>Knickwiderstand z, berechnet</t>
  </si>
  <si>
    <t>Knickwiderstand y, berechnet</t>
  </si>
  <si>
    <t>Knickwiderstand y, nach C4/06 Tabelle</t>
  </si>
  <si>
    <t>Querschnittsfläche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</si>
</sst>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;[Red]#,##0"/>
    <numFmt numFmtId="165" formatCode="0.0000"/>
    <numFmt numFmtId="166" formatCode="#,##0.000"/>
    <numFmt numFmtId="167" formatCode="#,##0.0000"/>
    <numFmt numFmtId="168" formatCode="0.000"/>
    <numFmt numFmtId="173" formatCode="#,##0.00;[Red]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b/>
      <sz val="14"/>
      <color theme="1"/>
      <name val="Aptos"/>
    </font>
    <font>
      <b/>
      <sz val="11"/>
      <color theme="1"/>
      <name val="Calibri"/>
      <family val="2"/>
      <scheme val="minor"/>
    </font>
    <font>
      <u/>
      <sz val="11"/>
      <color theme="1"/>
      <name val="Aptos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theme="1"/>
      <name val="Aptos"/>
    </font>
    <font>
      <i/>
      <sz val="10"/>
      <color rgb="FF000000"/>
      <name val="Aptos"/>
    </font>
    <font>
      <i/>
      <sz val="9"/>
      <color theme="1"/>
      <name val="Aptos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7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85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7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4" xfId="0" applyFont="1" applyBorder="1"/>
    <xf numFmtId="0" fontId="5" fillId="0" borderId="5" xfId="0" applyFont="1" applyBorder="1"/>
    <xf numFmtId="0" fontId="2" fillId="2" borderId="55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7" xfId="1" applyNumberFormat="1" applyFont="1" applyFill="1" applyBorder="1" applyProtection="1">
      <protection locked="0"/>
    </xf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6" xfId="4" applyNumberFormat="1" applyBorder="1" applyAlignment="1">
      <alignment horizontal="right"/>
    </xf>
    <xf numFmtId="164" fontId="9" fillId="7" borderId="58" xfId="1" applyNumberFormat="1" applyFont="1" applyFill="1" applyBorder="1" applyProtection="1">
      <protection locked="0"/>
    </xf>
    <xf numFmtId="164" fontId="9" fillId="7" borderId="59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4" fillId="0" borderId="0" xfId="0" applyFont="1" applyAlignment="1">
      <alignment vertical="top" wrapText="1"/>
    </xf>
    <xf numFmtId="0" fontId="15" fillId="0" borderId="60" xfId="0" applyFont="1" applyBorder="1" applyAlignment="1">
      <alignment horizontal="center" vertical="top"/>
    </xf>
    <xf numFmtId="0" fontId="5" fillId="0" borderId="0" xfId="0" quotePrefix="1" applyFont="1"/>
    <xf numFmtId="0" fontId="16" fillId="0" borderId="0" xfId="0" applyFont="1"/>
    <xf numFmtId="165" fontId="15" fillId="0" borderId="60" xfId="0" applyNumberFormat="1" applyFont="1" applyBorder="1" applyAlignment="1">
      <alignment horizontal="center" vertical="top"/>
    </xf>
    <xf numFmtId="165" fontId="0" fillId="0" borderId="0" xfId="0" applyNumberFormat="1"/>
    <xf numFmtId="4" fontId="11" fillId="3" borderId="15" xfId="4" applyNumberFormat="1"/>
    <xf numFmtId="0" fontId="5" fillId="0" borderId="0" xfId="0" applyFont="1" applyAlignment="1">
      <alignment horizontal="center"/>
    </xf>
    <xf numFmtId="167" fontId="18" fillId="0" borderId="0" xfId="0" applyNumberFormat="1" applyFont="1"/>
    <xf numFmtId="167" fontId="17" fillId="0" borderId="0" xfId="0" applyNumberFormat="1" applyFont="1"/>
    <xf numFmtId="0" fontId="7" fillId="8" borderId="0" xfId="0" applyFont="1" applyFill="1"/>
    <xf numFmtId="0" fontId="5" fillId="0" borderId="16" xfId="0" applyFont="1" applyBorder="1"/>
    <xf numFmtId="0" fontId="11" fillId="3" borderId="15" xfId="4"/>
    <xf numFmtId="0" fontId="5" fillId="0" borderId="11" xfId="0" applyFont="1" applyBorder="1"/>
    <xf numFmtId="0" fontId="20" fillId="0" borderId="0" xfId="0" applyFont="1" applyAlignment="1">
      <alignment horizontal="left"/>
    </xf>
    <xf numFmtId="2" fontId="5" fillId="0" borderId="0" xfId="0" applyNumberFormat="1" applyFont="1"/>
    <xf numFmtId="167" fontId="11" fillId="3" borderId="15" xfId="4" applyNumberFormat="1"/>
    <xf numFmtId="168" fontId="11" fillId="3" borderId="15" xfId="4" applyNumberFormat="1"/>
    <xf numFmtId="166" fontId="11" fillId="3" borderId="15" xfId="4" applyNumberFormat="1"/>
    <xf numFmtId="166" fontId="11" fillId="3" borderId="63" xfId="4" applyNumberFormat="1" applyBorder="1"/>
    <xf numFmtId="4" fontId="11" fillId="3" borderId="25" xfId="4" applyNumberFormat="1" applyBorder="1"/>
    <xf numFmtId="0" fontId="21" fillId="0" borderId="0" xfId="0" applyFont="1"/>
    <xf numFmtId="0" fontId="5" fillId="0" borderId="44" xfId="0" applyFont="1" applyBorder="1"/>
    <xf numFmtId="0" fontId="19" fillId="0" borderId="0" xfId="0" applyFont="1"/>
    <xf numFmtId="0" fontId="20" fillId="0" borderId="0" xfId="0" applyFont="1"/>
    <xf numFmtId="0" fontId="5" fillId="0" borderId="0" xfId="0" applyFont="1" applyAlignment="1">
      <alignment vertical="center"/>
    </xf>
    <xf numFmtId="0" fontId="5" fillId="0" borderId="19" xfId="0" applyFont="1" applyBorder="1"/>
    <xf numFmtId="0" fontId="7" fillId="0" borderId="0" xfId="0" applyFont="1"/>
    <xf numFmtId="0" fontId="5" fillId="0" borderId="67" xfId="0" applyFont="1" applyBorder="1"/>
    <xf numFmtId="0" fontId="5" fillId="0" borderId="68" xfId="0" applyFont="1" applyBorder="1"/>
    <xf numFmtId="4" fontId="3" fillId="3" borderId="1" xfId="2" applyNumberFormat="1"/>
    <xf numFmtId="0" fontId="21" fillId="0" borderId="16" xfId="0" applyFont="1" applyBorder="1"/>
    <xf numFmtId="4" fontId="3" fillId="3" borderId="12" xfId="2" applyNumberFormat="1" applyBorder="1"/>
    <xf numFmtId="0" fontId="2" fillId="2" borderId="64" xfId="1" applyBorder="1" applyAlignment="1" applyProtection="1">
      <alignment horizontal="right"/>
      <protection locked="0"/>
    </xf>
    <xf numFmtId="0" fontId="2" fillId="2" borderId="1" xfId="1" applyAlignment="1" applyProtection="1">
      <alignment horizontal="right"/>
      <protection locked="0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0" fontId="19" fillId="0" borderId="69" xfId="0" applyFont="1" applyBorder="1" applyAlignment="1">
      <alignment horizontal="left" vertical="center"/>
    </xf>
    <xf numFmtId="0" fontId="19" fillId="0" borderId="65" xfId="0" applyFont="1" applyBorder="1" applyAlignment="1">
      <alignment horizontal="left" vertical="center"/>
    </xf>
    <xf numFmtId="0" fontId="19" fillId="0" borderId="66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left" vertical="center"/>
    </xf>
    <xf numFmtId="0" fontId="6" fillId="6" borderId="6" xfId="0" applyFont="1" applyFill="1" applyBorder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/>
    </xf>
    <xf numFmtId="0" fontId="5" fillId="0" borderId="52" xfId="0" applyFont="1" applyBorder="1" applyAlignment="1">
      <alignment horizontal="left"/>
    </xf>
    <xf numFmtId="4" fontId="5" fillId="4" borderId="70" xfId="3" applyNumberFormat="1" applyFont="1" applyBorder="1" applyAlignment="1" applyProtection="1">
      <alignment horizontal="left"/>
    </xf>
    <xf numFmtId="4" fontId="5" fillId="4" borderId="2" xfId="3" applyNumberFormat="1" applyFont="1" applyAlignment="1" applyProtection="1">
      <alignment horizontal="left"/>
    </xf>
    <xf numFmtId="4" fontId="5" fillId="4" borderId="22" xfId="3" applyNumberFormat="1" applyFont="1" applyBorder="1" applyAlignment="1" applyProtection="1">
      <alignment horizontal="left"/>
    </xf>
    <xf numFmtId="4" fontId="5" fillId="4" borderId="71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72" xfId="3" applyNumberFormat="1" applyFont="1" applyBorder="1" applyAlignment="1" applyProtection="1">
      <alignment horizontal="left"/>
    </xf>
    <xf numFmtId="4" fontId="5" fillId="4" borderId="73" xfId="3" applyNumberFormat="1" applyFont="1" applyBorder="1" applyAlignment="1" applyProtection="1">
      <alignment horizontal="left"/>
    </xf>
    <xf numFmtId="4" fontId="5" fillId="4" borderId="74" xfId="3" applyNumberFormat="1" applyFont="1" applyBorder="1" applyAlignment="1" applyProtection="1">
      <alignment horizontal="left"/>
    </xf>
    <xf numFmtId="0" fontId="5" fillId="0" borderId="61" xfId="0" applyFont="1" applyBorder="1" applyAlignment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11" fillId="3" borderId="50" xfId="4" applyNumberFormat="1" applyBorder="1" applyAlignment="1">
      <alignment horizontal="right"/>
    </xf>
    <xf numFmtId="4" fontId="11" fillId="3" borderId="51" xfId="4" applyNumberFormat="1" applyBorder="1" applyAlignment="1">
      <alignment horizontal="right"/>
    </xf>
    <xf numFmtId="4" fontId="11" fillId="3" borderId="41" xfId="4" applyNumberFormat="1" applyBorder="1" applyAlignment="1">
      <alignment horizontal="right"/>
    </xf>
    <xf numFmtId="4" fontId="11" fillId="3" borderId="46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47" xfId="0" applyFont="1" applyBorder="1" applyAlignment="1">
      <alignment horizontal="left"/>
    </xf>
    <xf numFmtId="0" fontId="7" fillId="5" borderId="5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5" fillId="0" borderId="18" xfId="0" applyFont="1" applyBorder="1" applyAlignment="1">
      <alignment horizontal="left"/>
    </xf>
    <xf numFmtId="0" fontId="5" fillId="0" borderId="49" xfId="0" applyFont="1" applyBorder="1" applyAlignment="1">
      <alignment horizontal="left"/>
    </xf>
    <xf numFmtId="4" fontId="5" fillId="4" borderId="28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5" fillId="4" borderId="56" xfId="3" applyNumberFormat="1" applyFont="1" applyBorder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0" fontId="5" fillId="0" borderId="62" xfId="0" applyFont="1" applyBorder="1" applyAlignment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4" fontId="11" fillId="3" borderId="53" xfId="4" applyNumberFormat="1" applyBorder="1" applyAlignment="1">
      <alignment horizontal="right"/>
    </xf>
    <xf numFmtId="4" fontId="11" fillId="3" borderId="54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2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39" xfId="3" applyNumberFormat="1" applyFont="1" applyBorder="1" applyAlignment="1" applyProtection="1">
      <alignment horizontal="left"/>
    </xf>
    <xf numFmtId="4" fontId="5" fillId="4" borderId="4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11" fillId="3" borderId="26" xfId="4" applyNumberFormat="1" applyBorder="1"/>
    <xf numFmtId="4" fontId="5" fillId="4" borderId="37" xfId="3" applyNumberFormat="1" applyFont="1" applyBorder="1" applyAlignment="1" applyProtection="1">
      <alignment horizontal="left"/>
    </xf>
    <xf numFmtId="4" fontId="5" fillId="4" borderId="38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15" xfId="4" applyNumberFormat="1" applyAlignment="1">
      <alignment horizontal="right"/>
    </xf>
    <xf numFmtId="4" fontId="5" fillId="4" borderId="39" xfId="3" applyNumberFormat="1" applyFont="1" applyBorder="1" applyAlignment="1" applyProtection="1">
      <alignment horizontal="left" wrapText="1"/>
    </xf>
    <xf numFmtId="4" fontId="11" fillId="3" borderId="15" xfId="4" applyNumberFormat="1"/>
    <xf numFmtId="4" fontId="11" fillId="3" borderId="15" xfId="4" applyNumberFormat="1" applyAlignment="1" applyProtection="1">
      <alignment horizontal="right"/>
    </xf>
    <xf numFmtId="4" fontId="11" fillId="3" borderId="25" xfId="4" applyNumberFormat="1" applyBorder="1" applyAlignment="1" applyProtection="1">
      <alignment horizontal="right"/>
    </xf>
    <xf numFmtId="4" fontId="5" fillId="4" borderId="35" xfId="3" applyNumberFormat="1" applyFont="1" applyBorder="1" applyAlignment="1" applyProtection="1">
      <alignment horizontal="left"/>
    </xf>
    <xf numFmtId="4" fontId="5" fillId="4" borderId="36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3" fillId="3" borderId="48" xfId="2" applyNumberFormat="1" applyBorder="1" applyAlignment="1">
      <alignment horizontal="right"/>
    </xf>
    <xf numFmtId="4" fontId="11" fillId="3" borderId="17" xfId="4" applyNumberFormat="1" applyBorder="1" applyAlignment="1" applyProtection="1">
      <alignment horizontal="right"/>
    </xf>
    <xf numFmtId="4" fontId="11" fillId="3" borderId="26" xfId="4" applyNumberFormat="1" applyBorder="1" applyAlignment="1">
      <alignment horizontal="righ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29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4" fontId="11" fillId="3" borderId="32" xfId="4" applyNumberFormat="1" applyBorder="1" applyAlignment="1" applyProtection="1">
      <alignment horizontal="right"/>
    </xf>
    <xf numFmtId="4" fontId="7" fillId="4" borderId="33" xfId="3" applyNumberFormat="1" applyFont="1" applyBorder="1" applyAlignment="1" applyProtection="1">
      <alignment horizontal="left"/>
    </xf>
    <xf numFmtId="4" fontId="7" fillId="4" borderId="34" xfId="3" applyNumberFormat="1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7" fillId="4" borderId="31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  <xf numFmtId="0" fontId="5" fillId="0" borderId="68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19" fillId="0" borderId="68" xfId="0" applyFont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44" xfId="0" applyFont="1" applyBorder="1" applyAlignment="1">
      <alignment horizontal="left" vertical="center"/>
    </xf>
    <xf numFmtId="173" fontId="9" fillId="7" borderId="3" xfId="1" applyNumberFormat="1" applyFont="1" applyFill="1" applyBorder="1" applyProtection="1">
      <protection locked="0"/>
    </xf>
    <xf numFmtId="164" fontId="9" fillId="7" borderId="61" xfId="1" applyNumberFormat="1" applyFont="1" applyFill="1" applyBorder="1" applyProtection="1">
      <protection locked="0"/>
    </xf>
    <xf numFmtId="4" fontId="11" fillId="3" borderId="75" xfId="4" applyNumberFormat="1" applyBorder="1" applyProtection="1"/>
    <xf numFmtId="4" fontId="3" fillId="3" borderId="76" xfId="2" applyNumberFormat="1" applyBorder="1" applyAlignment="1"/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0</c:v>
                </c:pt>
                <c:pt idx="1">
                  <c:v>22</c:v>
                </c:pt>
                <c:pt idx="2">
                  <c:v>22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28</c:v>
                </c:pt>
                <c:pt idx="3">
                  <c:v>28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22</c:v>
                </c:pt>
                <c:pt idx="1">
                  <c:v>296</c:v>
                </c:pt>
                <c:pt idx="2">
                  <c:v>296</c:v>
                </c:pt>
                <c:pt idx="3">
                  <c:v>22</c:v>
                </c:pt>
                <c:pt idx="4">
                  <c:v>22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292</c:v>
                </c:pt>
                <c:pt idx="1">
                  <c:v>292</c:v>
                </c:pt>
                <c:pt idx="2">
                  <c:v>316</c:v>
                </c:pt>
                <c:pt idx="3">
                  <c:v>316</c:v>
                </c:pt>
                <c:pt idx="4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296</c:v>
                </c:pt>
                <c:pt idx="1">
                  <c:v>318</c:v>
                </c:pt>
                <c:pt idx="2">
                  <c:v>318</c:v>
                </c:pt>
                <c:pt idx="3">
                  <c:v>296</c:v>
                </c:pt>
                <c:pt idx="4">
                  <c:v>296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320</c:v>
                </c:pt>
                <c:pt idx="3">
                  <c:v>320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Berechnungen!$L$86:$P$86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Berechnungen!$L$98:$P$98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318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318"/>
          <c:min val="0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  <c:minorUnit val="10"/>
      </c:valAx>
      <c:valAx>
        <c:axId val="50010002"/>
        <c:scaling>
          <c:orientation val="minMax"/>
          <c:max val="3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solidFill>
            <a:schemeClr val="accent1">
              <a:alpha val="57625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92884</xdr:colOff>
      <xdr:row>125</xdr:row>
      <xdr:rowOff>142240</xdr:rowOff>
    </xdr:from>
    <xdr:to>
      <xdr:col>12</xdr:col>
      <xdr:colOff>1064430</xdr:colOff>
      <xdr:row>166</xdr:row>
      <xdr:rowOff>28754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44638DE-DD58-EE7E-7702-B073785E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27584" y="25974040"/>
          <a:ext cx="5543546" cy="8290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C00000"/>
  </sheetPr>
  <dimension ref="B1:W202"/>
  <sheetViews>
    <sheetView showGridLines="0" tabSelected="1" topLeftCell="A117" zoomScale="137" zoomScaleNormal="115" workbookViewId="0">
      <selection activeCell="E131" sqref="E131"/>
    </sheetView>
  </sheetViews>
  <sheetFormatPr baseColWidth="10" defaultColWidth="8.83203125" defaultRowHeight="15" x14ac:dyDescent="0.2"/>
  <cols>
    <col min="1" max="2" width="2" style="5" customWidth="1"/>
    <col min="3" max="3" width="14" style="5" bestFit="1" customWidth="1"/>
    <col min="4" max="4" width="17.1640625" style="5" customWidth="1"/>
    <col min="5" max="5" width="14.5" style="5" customWidth="1"/>
    <col min="6" max="6" width="17.1640625" style="5" customWidth="1"/>
    <col min="7" max="7" width="14.5" style="5" customWidth="1"/>
    <col min="8" max="8" width="17.83203125" style="5" bestFit="1" customWidth="1"/>
    <col min="9" max="9" width="17.5" style="5" bestFit="1" customWidth="1"/>
    <col min="10" max="10" width="26.83203125" style="5" customWidth="1"/>
    <col min="11" max="11" width="55.6640625" style="5" customWidth="1"/>
    <col min="12" max="12" width="4.33203125" style="5" bestFit="1" customWidth="1"/>
    <col min="13" max="13" width="38.1640625" style="5" bestFit="1" customWidth="1"/>
    <col min="14" max="14" width="6.6640625" style="5" bestFit="1" customWidth="1"/>
    <col min="15" max="16" width="4.33203125" style="5" bestFit="1" customWidth="1"/>
    <col min="17" max="20" width="9.33203125" style="5" bestFit="1" customWidth="1"/>
    <col min="21" max="23" width="9.1640625" style="5" bestFit="1" customWidth="1"/>
    <col min="24" max="16384" width="8.83203125" style="5"/>
  </cols>
  <sheetData>
    <row r="1" spans="2:23" ht="20" thickBot="1" x14ac:dyDescent="0.3">
      <c r="B1" s="1" t="s">
        <v>125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9" customHeight="1" x14ac:dyDescent="0.2">
      <c r="I12" s="34"/>
      <c r="K12" s="34"/>
    </row>
    <row r="13" spans="2:23" ht="19" customHeight="1" x14ac:dyDescent="0.2">
      <c r="I13" s="34"/>
      <c r="K13" s="34"/>
    </row>
    <row r="14" spans="2:23" ht="19" customHeight="1" x14ac:dyDescent="0.2">
      <c r="I14" s="34"/>
      <c r="J14" s="34"/>
      <c r="K14" s="34"/>
    </row>
    <row r="15" spans="2:23" ht="19" customHeight="1" x14ac:dyDescent="0.2">
      <c r="I15" s="34"/>
      <c r="J15" s="34"/>
      <c r="K15" s="34"/>
    </row>
    <row r="16" spans="2:23" ht="19" customHeight="1" x14ac:dyDescent="0.2"/>
    <row r="17" spans="5:14" ht="19" customHeight="1" x14ac:dyDescent="0.2"/>
    <row r="18" spans="5:14" ht="15" customHeight="1" x14ac:dyDescent="0.2"/>
    <row r="19" spans="5:14" ht="15" customHeight="1" x14ac:dyDescent="0.2"/>
    <row r="20" spans="5:14" ht="15" customHeight="1" x14ac:dyDescent="0.2">
      <c r="E20" s="4"/>
    </row>
    <row r="21" spans="5:14" ht="15" customHeight="1" x14ac:dyDescent="0.2">
      <c r="E21" s="4"/>
    </row>
    <row r="22" spans="5:14" x14ac:dyDescent="0.2">
      <c r="E22" s="4"/>
    </row>
    <row r="23" spans="5:14" x14ac:dyDescent="0.2">
      <c r="E23" s="4"/>
    </row>
    <row r="24" spans="5:14" x14ac:dyDescent="0.2">
      <c r="E24" s="4"/>
      <c r="N24" s="4"/>
    </row>
    <row r="25" spans="5:14" x14ac:dyDescent="0.2">
      <c r="E25" s="4"/>
      <c r="N25" s="4"/>
    </row>
    <row r="26" spans="5:14" x14ac:dyDescent="0.2">
      <c r="E26" s="4"/>
      <c r="H26" s="8"/>
      <c r="I26" s="8"/>
      <c r="J26" s="8"/>
      <c r="K26" s="4"/>
      <c r="L26" s="4"/>
      <c r="M26" s="4"/>
      <c r="N26" s="4"/>
    </row>
    <row r="27" spans="5:14" x14ac:dyDescent="0.2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 x14ac:dyDescent="0.2">
      <c r="E28" s="4"/>
      <c r="H28" s="8"/>
      <c r="I28" s="8"/>
      <c r="J28" s="4" t="s">
        <v>12</v>
      </c>
      <c r="K28" s="4">
        <v>0</v>
      </c>
      <c r="L28" s="8">
        <f>F105</f>
        <v>318</v>
      </c>
      <c r="M28" s="20">
        <f>D59</f>
        <v>160</v>
      </c>
      <c r="N28" s="20">
        <f>D59</f>
        <v>160</v>
      </c>
    </row>
    <row r="29" spans="5:14" x14ac:dyDescent="0.2">
      <c r="E29" s="4"/>
      <c r="H29" s="8"/>
      <c r="I29" s="8"/>
      <c r="J29" s="4" t="s">
        <v>13</v>
      </c>
      <c r="K29" s="4">
        <v>0</v>
      </c>
      <c r="L29" s="8">
        <f>F110</f>
        <v>320</v>
      </c>
      <c r="M29" s="20">
        <f>D73</f>
        <v>159</v>
      </c>
      <c r="N29" s="20">
        <f>D73</f>
        <v>159</v>
      </c>
    </row>
    <row r="30" spans="5:14" x14ac:dyDescent="0.2">
      <c r="E30" s="4"/>
      <c r="H30" s="8"/>
      <c r="I30" s="8"/>
      <c r="J30" s="4"/>
      <c r="K30" s="4"/>
      <c r="L30" s="4"/>
      <c r="M30" s="4"/>
      <c r="N30" s="4"/>
    </row>
    <row r="31" spans="5:14" x14ac:dyDescent="0.2">
      <c r="E31" s="4"/>
      <c r="H31" s="8"/>
      <c r="I31" s="8"/>
      <c r="J31" s="4"/>
      <c r="K31" s="4"/>
      <c r="L31" s="4"/>
      <c r="M31" s="4"/>
      <c r="N31" s="4"/>
    </row>
    <row r="32" spans="5:14" ht="16" thickBot="1" x14ac:dyDescent="0.25">
      <c r="E32" s="4"/>
      <c r="F32" s="4"/>
      <c r="G32" s="4"/>
      <c r="I32" s="7"/>
    </row>
    <row r="33" spans="2:12" ht="15" customHeight="1" x14ac:dyDescent="0.2">
      <c r="C33" s="164" t="s">
        <v>57</v>
      </c>
      <c r="D33" s="160" t="s">
        <v>69</v>
      </c>
      <c r="E33" s="160" t="s">
        <v>72</v>
      </c>
      <c r="F33" s="160" t="s">
        <v>70</v>
      </c>
      <c r="G33" s="160" t="s">
        <v>71</v>
      </c>
      <c r="H33" s="168" t="s">
        <v>26</v>
      </c>
    </row>
    <row r="34" spans="2:12" ht="15" customHeight="1" thickBot="1" x14ac:dyDescent="0.25">
      <c r="C34" s="165"/>
      <c r="D34" s="161"/>
      <c r="E34" s="161"/>
      <c r="F34" s="161"/>
      <c r="G34" s="161"/>
      <c r="H34" s="169"/>
    </row>
    <row r="35" spans="2:12" ht="16" x14ac:dyDescent="0.2">
      <c r="C35" s="26" t="s">
        <v>49</v>
      </c>
      <c r="D35" s="23">
        <v>0</v>
      </c>
      <c r="E35" s="24">
        <v>22</v>
      </c>
      <c r="F35" s="24">
        <v>0</v>
      </c>
      <c r="G35" s="24">
        <v>320</v>
      </c>
      <c r="H35" s="10">
        <f>IF(OR(ISBLANK(E35), ISBLANK(G35)), "", E35*G35)</f>
        <v>7040</v>
      </c>
      <c r="J35" s="4"/>
      <c r="K35" s="4"/>
    </row>
    <row r="36" spans="2:12" ht="18" x14ac:dyDescent="0.2">
      <c r="C36" s="26" t="s">
        <v>50</v>
      </c>
      <c r="D36" s="23">
        <v>22</v>
      </c>
      <c r="E36" s="24">
        <v>274</v>
      </c>
      <c r="F36" s="24">
        <v>4</v>
      </c>
      <c r="G36" s="24">
        <v>24</v>
      </c>
      <c r="H36" s="11">
        <f t="shared" ref="H36:H40" si="0">IF(OR(ISBLANK(E36), ISBLANK(G36)), "", E36*G36)</f>
        <v>6576</v>
      </c>
      <c r="J36" s="6" t="s">
        <v>58</v>
      </c>
      <c r="K36" s="4"/>
      <c r="L36" s="4"/>
    </row>
    <row r="37" spans="2:12" ht="18" x14ac:dyDescent="0.2">
      <c r="C37" s="26" t="s">
        <v>51</v>
      </c>
      <c r="D37" s="23">
        <v>22</v>
      </c>
      <c r="E37" s="24">
        <v>274</v>
      </c>
      <c r="F37" s="24">
        <v>292</v>
      </c>
      <c r="G37" s="24">
        <v>24</v>
      </c>
      <c r="H37" s="11">
        <f t="shared" si="0"/>
        <v>6576</v>
      </c>
      <c r="J37" s="6" t="s">
        <v>24</v>
      </c>
      <c r="K37" s="4"/>
      <c r="L37" s="4"/>
    </row>
    <row r="38" spans="2:12" ht="18" x14ac:dyDescent="0.2">
      <c r="C38" s="26" t="s">
        <v>52</v>
      </c>
      <c r="D38" s="23">
        <v>296</v>
      </c>
      <c r="E38" s="23">
        <v>22</v>
      </c>
      <c r="F38" s="23">
        <v>0</v>
      </c>
      <c r="G38" s="23">
        <v>320</v>
      </c>
      <c r="H38" s="11">
        <f t="shared" si="0"/>
        <v>7040</v>
      </c>
      <c r="J38" s="6" t="s">
        <v>25</v>
      </c>
      <c r="K38" s="4"/>
      <c r="L38" s="4"/>
    </row>
    <row r="39" spans="2:12" ht="18" x14ac:dyDescent="0.2">
      <c r="C39" s="26" t="s">
        <v>53</v>
      </c>
      <c r="D39" s="23"/>
      <c r="E39" s="24"/>
      <c r="F39" s="24"/>
      <c r="G39" s="24"/>
      <c r="H39" s="11" t="str">
        <f t="shared" si="0"/>
        <v/>
      </c>
      <c r="J39" s="6" t="s">
        <v>23</v>
      </c>
      <c r="K39" s="4"/>
      <c r="L39" s="4"/>
    </row>
    <row r="40" spans="2:12" ht="18" x14ac:dyDescent="0.2">
      <c r="C40" s="26" t="s">
        <v>54</v>
      </c>
      <c r="D40" s="23"/>
      <c r="E40" s="24"/>
      <c r="F40" s="24"/>
      <c r="G40" s="24"/>
      <c r="H40" s="11" t="str">
        <f t="shared" si="0"/>
        <v/>
      </c>
      <c r="J40" s="6" t="s">
        <v>64</v>
      </c>
      <c r="K40" s="4"/>
      <c r="L40" s="4"/>
    </row>
    <row r="41" spans="2:12" ht="16" x14ac:dyDescent="0.2">
      <c r="C41" s="26" t="s">
        <v>55</v>
      </c>
      <c r="D41" s="23"/>
      <c r="E41" s="24"/>
      <c r="F41" s="24"/>
      <c r="G41" s="24"/>
      <c r="H41" s="11" t="str">
        <f>IF(OR(ISBLANK(E41), ISBLANK(G41)), "", E41*G41)</f>
        <v/>
      </c>
      <c r="I41" s="8"/>
      <c r="J41" s="4"/>
      <c r="K41" s="4"/>
    </row>
    <row r="42" spans="2:12" ht="17" thickBot="1" x14ac:dyDescent="0.25">
      <c r="C42" s="27" t="s">
        <v>56</v>
      </c>
      <c r="D42" s="30"/>
      <c r="E42" s="31"/>
      <c r="F42" s="180"/>
      <c r="G42" s="180"/>
      <c r="H42" s="181" t="str">
        <f>IF(OR(ISBLANK(E42), ISBLANK(G42)), "", E42*G42)</f>
        <v/>
      </c>
      <c r="I42" s="8"/>
      <c r="J42" s="4"/>
      <c r="K42" s="4"/>
    </row>
    <row r="43" spans="2:12" ht="17" thickBot="1" x14ac:dyDescent="0.25">
      <c r="C43" s="44"/>
      <c r="F43" s="183" t="s">
        <v>136</v>
      </c>
      <c r="G43" s="184"/>
      <c r="H43" s="182">
        <f>SUM(H35:H42)</f>
        <v>27232</v>
      </c>
      <c r="J43" s="4"/>
      <c r="K43" s="4"/>
    </row>
    <row r="44" spans="2:12" ht="16" thickBot="1" x14ac:dyDescent="0.25">
      <c r="E44" s="4"/>
      <c r="F44" s="4"/>
      <c r="G44" s="4"/>
      <c r="H44" s="4"/>
      <c r="I44" s="8"/>
      <c r="J44" s="4"/>
      <c r="K44" s="4"/>
    </row>
    <row r="45" spans="2:12" ht="20" thickBot="1" x14ac:dyDescent="0.25">
      <c r="B45" s="74" t="s">
        <v>22</v>
      </c>
      <c r="C45" s="75"/>
      <c r="D45" s="75"/>
      <c r="E45" s="75"/>
      <c r="F45" s="75"/>
      <c r="G45" s="75"/>
      <c r="H45" s="75"/>
      <c r="I45" s="75"/>
      <c r="J45" s="75"/>
      <c r="K45" s="76"/>
    </row>
    <row r="46" spans="2:12" ht="16" thickBot="1" x14ac:dyDescent="0.25">
      <c r="C46" s="120" t="s">
        <v>31</v>
      </c>
      <c r="D46" s="121"/>
      <c r="E46" s="121"/>
      <c r="F46" s="121"/>
      <c r="G46" s="121"/>
      <c r="H46" s="121"/>
      <c r="I46" s="121"/>
      <c r="J46" s="121"/>
      <c r="K46" s="122"/>
    </row>
    <row r="47" spans="2:12" x14ac:dyDescent="0.2">
      <c r="C47" s="89" t="s">
        <v>57</v>
      </c>
      <c r="D47" s="90" t="s">
        <v>32</v>
      </c>
      <c r="E47" s="90"/>
      <c r="F47" s="90" t="s">
        <v>21</v>
      </c>
      <c r="G47" s="90"/>
      <c r="H47" s="90"/>
      <c r="I47" s="90"/>
      <c r="J47" s="90"/>
      <c r="K47" s="93"/>
    </row>
    <row r="48" spans="2:12" ht="16" thickBot="1" x14ac:dyDescent="0.25">
      <c r="C48" s="91"/>
      <c r="D48" s="92"/>
      <c r="E48" s="92"/>
      <c r="F48" s="92"/>
      <c r="G48" s="92"/>
      <c r="H48" s="92"/>
      <c r="I48" s="92"/>
      <c r="J48" s="92"/>
      <c r="K48" s="94"/>
    </row>
    <row r="49" spans="3:11" ht="16" x14ac:dyDescent="0.2">
      <c r="C49" s="9" t="s">
        <v>49</v>
      </c>
      <c r="D49" s="139">
        <f>(IF(AND(ISNUMBER(H35),ISNUMBER(G35),ISNUMBER(F35)),(H35*((G35/2)+F35)),""))</f>
        <v>1126400</v>
      </c>
      <c r="E49" s="139"/>
      <c r="F49" s="144" t="str">
        <f>IF(AND(ISNUMBER(H35), ISNUMBER(G35), ISNUMBER(F35)),
    H35 &amp; " * ((" &amp; G35 &amp; " / 2) + " &amp; F35 &amp; ")",
    ""
)</f>
        <v>7040 * ((320 / 2) + 0)</v>
      </c>
      <c r="G49" s="145"/>
      <c r="H49" s="145"/>
      <c r="I49" s="145"/>
      <c r="J49" s="145"/>
      <c r="K49" s="146"/>
    </row>
    <row r="50" spans="3:11" ht="16" x14ac:dyDescent="0.2">
      <c r="C50" s="9" t="s">
        <v>50</v>
      </c>
      <c r="D50" s="139">
        <f t="shared" ref="D50:D55" si="1">IF(AND(ISNUMBER(H36), ISNUMBER(G36), ISNUMBER(F36)), (H36*((G36/2)+F36)), "")</f>
        <v>105216</v>
      </c>
      <c r="E50" s="139"/>
      <c r="F50" s="135" t="str">
        <f t="shared" ref="F50:F56" si="2">IF(AND(ISNUMBER(H36), ISNUMBER(G36), ISNUMBER(F36)),
    " + " &amp; H36 &amp; " * ((" &amp; G36 &amp; " / 2) + " &amp; F36 &amp; ")",
    ""
)</f>
        <v xml:space="preserve"> + 6576 * ((24 / 2) + 4)</v>
      </c>
      <c r="G50" s="136"/>
      <c r="H50" s="136"/>
      <c r="I50" s="136"/>
      <c r="J50" s="136"/>
      <c r="K50" s="137"/>
    </row>
    <row r="51" spans="3:11" ht="16" x14ac:dyDescent="0.2">
      <c r="C51" s="9" t="s">
        <v>51</v>
      </c>
      <c r="D51" s="139">
        <f t="shared" si="1"/>
        <v>1999104</v>
      </c>
      <c r="E51" s="139"/>
      <c r="F51" s="135" t="str">
        <f t="shared" si="2"/>
        <v xml:space="preserve"> + 6576 * ((24 / 2) + 292)</v>
      </c>
      <c r="G51" s="136"/>
      <c r="H51" s="136"/>
      <c r="I51" s="136"/>
      <c r="J51" s="136"/>
      <c r="K51" s="137"/>
    </row>
    <row r="52" spans="3:11" ht="16" x14ac:dyDescent="0.2">
      <c r="C52" s="9" t="s">
        <v>52</v>
      </c>
      <c r="D52" s="139">
        <f t="shared" si="1"/>
        <v>1126400</v>
      </c>
      <c r="E52" s="139"/>
      <c r="F52" s="135" t="str">
        <f t="shared" si="2"/>
        <v xml:space="preserve"> + 7040 * ((320 / 2) + 0)</v>
      </c>
      <c r="G52" s="136"/>
      <c r="H52" s="136"/>
      <c r="I52" s="136"/>
      <c r="J52" s="136"/>
      <c r="K52" s="137"/>
    </row>
    <row r="53" spans="3:11" ht="16" x14ac:dyDescent="0.2">
      <c r="C53" s="9" t="s">
        <v>53</v>
      </c>
      <c r="D53" s="139" t="str">
        <f t="shared" si="1"/>
        <v/>
      </c>
      <c r="E53" s="139"/>
      <c r="F53" s="135" t="str">
        <f t="shared" si="2"/>
        <v/>
      </c>
      <c r="G53" s="136"/>
      <c r="H53" s="136"/>
      <c r="I53" s="136"/>
      <c r="J53" s="136"/>
      <c r="K53" s="137"/>
    </row>
    <row r="54" spans="3:11" ht="16" x14ac:dyDescent="0.2">
      <c r="C54" s="9" t="s">
        <v>54</v>
      </c>
      <c r="D54" s="139" t="str">
        <f t="shared" si="1"/>
        <v/>
      </c>
      <c r="E54" s="139"/>
      <c r="F54" s="135" t="str">
        <f t="shared" si="2"/>
        <v/>
      </c>
      <c r="G54" s="136"/>
      <c r="H54" s="136"/>
      <c r="I54" s="136"/>
      <c r="J54" s="136"/>
      <c r="K54" s="137"/>
    </row>
    <row r="55" spans="3:11" ht="16" x14ac:dyDescent="0.2">
      <c r="C55" s="9" t="s">
        <v>55</v>
      </c>
      <c r="D55" s="139" t="str">
        <f t="shared" si="1"/>
        <v/>
      </c>
      <c r="E55" s="139"/>
      <c r="F55" s="135" t="str">
        <f t="shared" si="2"/>
        <v/>
      </c>
      <c r="G55" s="136"/>
      <c r="H55" s="136"/>
      <c r="I55" s="136"/>
      <c r="J55" s="136"/>
      <c r="K55" s="137"/>
    </row>
    <row r="56" spans="3:11" ht="17" thickBot="1" x14ac:dyDescent="0.25">
      <c r="C56" s="12" t="s">
        <v>56</v>
      </c>
      <c r="D56" s="152" t="str">
        <f>IF(AND(ISNUMBER(H42),ISNUMBER(G42),ISNUMBER(F42)),(H42*((G42/2)+F42)), "")</f>
        <v/>
      </c>
      <c r="E56" s="152"/>
      <c r="F56" s="135" t="str">
        <f t="shared" si="2"/>
        <v/>
      </c>
      <c r="G56" s="136"/>
      <c r="H56" s="136"/>
      <c r="I56" s="136"/>
      <c r="J56" s="136"/>
      <c r="K56" s="137"/>
    </row>
    <row r="57" spans="3:11" ht="16" x14ac:dyDescent="0.2">
      <c r="C57" s="14" t="s">
        <v>29</v>
      </c>
      <c r="D57" s="138">
        <f>SUM(D49:D56)</f>
        <v>4357120</v>
      </c>
      <c r="E57" s="138"/>
      <c r="F57" s="4"/>
      <c r="G57" s="4"/>
      <c r="H57" s="4"/>
      <c r="I57" s="8"/>
      <c r="J57" s="4"/>
      <c r="K57" s="17"/>
    </row>
    <row r="58" spans="3:11" ht="17" thickBot="1" x14ac:dyDescent="0.25">
      <c r="C58" s="14" t="s">
        <v>33</v>
      </c>
      <c r="D58" s="139">
        <f>(IF(ISNUMBER(H35),H35,0)
+IF(ISNUMBER(H36),H36,0)
+IF(ISNUMBER(H37),H37,0)
+IF(ISNUMBER(H38),H38,0)
+IF(ISNUMBER(H39),H39,0)
+IF(ISNUMBER(H40),H40,0)
+IF(ISNUMBER(H41),H41,0)
+IF(ISNUMBER(H42),H42,0))</f>
        <v>27232</v>
      </c>
      <c r="E58" s="139"/>
      <c r="F58" s="131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7040 + 6576 + 6576 + 7040</v>
      </c>
      <c r="G58" s="132"/>
      <c r="H58" s="132"/>
      <c r="I58" s="132"/>
      <c r="J58" s="132"/>
      <c r="K58" s="133"/>
    </row>
    <row r="59" spans="3:11" ht="17" thickBot="1" x14ac:dyDescent="0.25">
      <c r="C59" s="15" t="s">
        <v>18</v>
      </c>
      <c r="D59" s="150">
        <f>D57/D58</f>
        <v>160</v>
      </c>
      <c r="E59" s="150"/>
      <c r="F59" s="147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7040 * ((320 / 2) + 0) + 6576 * ((24 / 2) + 4) + 6576 * ((24 / 2) + 292) + 7040 * ((320 / 2) + 0) / (7040 + 6576 + 6576 + 7040)</v>
      </c>
      <c r="G59" s="148"/>
      <c r="H59" s="148"/>
      <c r="I59" s="148"/>
      <c r="J59" s="148"/>
      <c r="K59" s="149"/>
    </row>
    <row r="60" spans="3:11" ht="16" thickBot="1" x14ac:dyDescent="0.25">
      <c r="C60" s="120" t="s">
        <v>30</v>
      </c>
      <c r="D60" s="121"/>
      <c r="E60" s="121"/>
      <c r="F60" s="121"/>
      <c r="G60" s="121"/>
      <c r="H60" s="121"/>
      <c r="I60" s="121"/>
      <c r="J60" s="121"/>
      <c r="K60" s="122"/>
    </row>
    <row r="61" spans="3:11" x14ac:dyDescent="0.2">
      <c r="C61" s="89" t="s">
        <v>57</v>
      </c>
      <c r="D61" s="90" t="s">
        <v>32</v>
      </c>
      <c r="E61" s="90"/>
      <c r="F61" s="90" t="s">
        <v>21</v>
      </c>
      <c r="G61" s="90"/>
      <c r="H61" s="90"/>
      <c r="I61" s="90"/>
      <c r="J61" s="90"/>
      <c r="K61" s="93"/>
    </row>
    <row r="62" spans="3:11" ht="16" thickBot="1" x14ac:dyDescent="0.25">
      <c r="C62" s="91"/>
      <c r="D62" s="92"/>
      <c r="E62" s="92"/>
      <c r="F62" s="92"/>
      <c r="G62" s="92"/>
      <c r="H62" s="92"/>
      <c r="I62" s="92"/>
      <c r="J62" s="92"/>
      <c r="K62" s="94"/>
    </row>
    <row r="63" spans="3:11" ht="16" x14ac:dyDescent="0.2">
      <c r="C63" s="9" t="s">
        <v>49</v>
      </c>
      <c r="D63" s="141">
        <f>(IF(AND(ISNUMBER(H35),ISNUMBER(E35),ISNUMBER(D35)),(H35*((E35/2)+D35)),""))</f>
        <v>77440</v>
      </c>
      <c r="E63" s="141"/>
      <c r="F63" s="144" t="str">
        <f>IF(AND(ISNUMBER(H35), ISNUMBER(E35), ISNUMBER(D35)),
    H35 &amp; " * ((" &amp; E35 &amp; " / 2) + " &amp; D35 &amp; ")",
    ""
)</f>
        <v>7040 * ((22 / 2) + 0)</v>
      </c>
      <c r="G63" s="145"/>
      <c r="H63" s="145"/>
      <c r="I63" s="145"/>
      <c r="J63" s="145"/>
      <c r="K63" s="146"/>
    </row>
    <row r="64" spans="3:11" ht="16" x14ac:dyDescent="0.2">
      <c r="C64" s="9" t="s">
        <v>50</v>
      </c>
      <c r="D64" s="141">
        <f t="shared" ref="D64:D69" si="3">IF(AND(ISNUMBER(H36), ISNUMBER(E36), ISNUMBER(D36)), (H36*((E36/2)+D36)), "")</f>
        <v>1045584</v>
      </c>
      <c r="E64" s="141"/>
      <c r="F64" s="135" t="str">
        <f t="shared" ref="F64:F70" si="4">IF(AND(ISNUMBER(H36), ISNUMBER(E36), ISNUMBER(D36)),
    " + " &amp; H36 &amp; " * ((" &amp; E36 &amp; " / 2) + " &amp; D36 &amp; ")",
    ""
)</f>
        <v xml:space="preserve"> + 6576 * ((274 / 2) + 22)</v>
      </c>
      <c r="G64" s="136"/>
      <c r="H64" s="136"/>
      <c r="I64" s="136"/>
      <c r="J64" s="136"/>
      <c r="K64" s="137"/>
    </row>
    <row r="65" spans="2:17" ht="16" x14ac:dyDescent="0.2">
      <c r="C65" s="9" t="s">
        <v>51</v>
      </c>
      <c r="D65" s="141">
        <f t="shared" si="3"/>
        <v>1045584</v>
      </c>
      <c r="E65" s="141"/>
      <c r="F65" s="135" t="str">
        <f t="shared" si="4"/>
        <v xml:space="preserve"> + 6576 * ((274 / 2) + 22)</v>
      </c>
      <c r="G65" s="136"/>
      <c r="H65" s="136"/>
      <c r="I65" s="136"/>
      <c r="J65" s="136"/>
      <c r="K65" s="137"/>
    </row>
    <row r="66" spans="2:17" ht="16" x14ac:dyDescent="0.2">
      <c r="C66" s="9" t="s">
        <v>52</v>
      </c>
      <c r="D66" s="141">
        <f t="shared" si="3"/>
        <v>2161280</v>
      </c>
      <c r="E66" s="141"/>
      <c r="F66" s="135" t="str">
        <f t="shared" si="4"/>
        <v xml:space="preserve"> + 7040 * ((22 / 2) + 296)</v>
      </c>
      <c r="G66" s="136"/>
      <c r="H66" s="136"/>
      <c r="I66" s="136"/>
      <c r="J66" s="136"/>
      <c r="K66" s="137"/>
    </row>
    <row r="67" spans="2:17" ht="16" x14ac:dyDescent="0.2">
      <c r="C67" s="9" t="s">
        <v>53</v>
      </c>
      <c r="D67" s="141" t="str">
        <f t="shared" si="3"/>
        <v/>
      </c>
      <c r="E67" s="141"/>
      <c r="F67" s="135" t="str">
        <f t="shared" si="4"/>
        <v/>
      </c>
      <c r="G67" s="136"/>
      <c r="H67" s="136"/>
      <c r="I67" s="136"/>
      <c r="J67" s="136"/>
      <c r="K67" s="137"/>
    </row>
    <row r="68" spans="2:17" ht="16" x14ac:dyDescent="0.2">
      <c r="C68" s="9" t="s">
        <v>54</v>
      </c>
      <c r="D68" s="141" t="str">
        <f t="shared" si="3"/>
        <v/>
      </c>
      <c r="E68" s="141"/>
      <c r="F68" s="135" t="str">
        <f t="shared" si="4"/>
        <v/>
      </c>
      <c r="G68" s="136"/>
      <c r="H68" s="136"/>
      <c r="I68" s="136"/>
      <c r="J68" s="136"/>
      <c r="K68" s="137"/>
    </row>
    <row r="69" spans="2:17" ht="16" x14ac:dyDescent="0.2">
      <c r="C69" s="9" t="s">
        <v>55</v>
      </c>
      <c r="D69" s="141" t="str">
        <f t="shared" si="3"/>
        <v/>
      </c>
      <c r="E69" s="141"/>
      <c r="F69" s="135" t="str">
        <f t="shared" si="4"/>
        <v/>
      </c>
      <c r="G69" s="136"/>
      <c r="H69" s="136"/>
      <c r="I69" s="136"/>
      <c r="J69" s="136"/>
      <c r="K69" s="137"/>
    </row>
    <row r="70" spans="2:17" ht="17" thickBot="1" x14ac:dyDescent="0.25">
      <c r="C70" s="12" t="s">
        <v>56</v>
      </c>
      <c r="D70" s="134" t="str">
        <f>IF(AND(ISNUMBER(H42),ISNUMBER(E42),ISNUMBER(D42)),(H42*((E42/2)+D42)),"")</f>
        <v/>
      </c>
      <c r="E70" s="134"/>
      <c r="F70" s="135" t="str">
        <f t="shared" si="4"/>
        <v/>
      </c>
      <c r="G70" s="136"/>
      <c r="H70" s="136"/>
      <c r="I70" s="136"/>
      <c r="J70" s="136"/>
      <c r="K70" s="137"/>
    </row>
    <row r="71" spans="2:17" ht="16" x14ac:dyDescent="0.2">
      <c r="C71" s="14" t="s">
        <v>29</v>
      </c>
      <c r="D71" s="138">
        <f>SUM(D63:D70)</f>
        <v>4329888</v>
      </c>
      <c r="E71" s="138"/>
      <c r="F71" s="4"/>
      <c r="G71" s="4"/>
      <c r="H71" s="4"/>
      <c r="I71" s="8"/>
      <c r="J71" s="4"/>
      <c r="K71" s="17"/>
    </row>
    <row r="72" spans="2:17" ht="17" thickBot="1" x14ac:dyDescent="0.25">
      <c r="C72" s="14" t="s">
        <v>33</v>
      </c>
      <c r="D72" s="139">
        <f>(IF(ISNUMBER(H35), H35, 0)
+ IF(ISNUMBER(H36), H36, 0)
+ IF(ISNUMBER(H37), H37, 0)
+ IF(ISNUMBER(H38), H38, 0)
+ IF(ISNUMBER(H39), H39, 0)
+ IF(ISNUMBER(H40), H40, 0)
+ IF(ISNUMBER(H41), H41, 0)
+ IF(ISNUMBER(H42), H42, 0))</f>
        <v>27232</v>
      </c>
      <c r="E72" s="139"/>
      <c r="F72" s="140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7040 + 6576 + 6576 + 7040</v>
      </c>
      <c r="G72" s="132"/>
      <c r="H72" s="132"/>
      <c r="I72" s="132"/>
      <c r="J72" s="132"/>
      <c r="K72" s="133"/>
    </row>
    <row r="73" spans="2:17" ht="17" thickBot="1" x14ac:dyDescent="0.25">
      <c r="C73" s="15" t="s">
        <v>19</v>
      </c>
      <c r="D73" s="150">
        <f>D71/D72</f>
        <v>159</v>
      </c>
      <c r="E73" s="150"/>
      <c r="F73" s="147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7040 * ((22 / 2) + 0) + 6576 * ((274 / 2) + 22) + 6576 * ((274 / 2) + 22) + 7040 * ((22 / 2) + 296) / (7040 + 6576 + 6576 + 7040)</v>
      </c>
      <c r="G73" s="148"/>
      <c r="H73" s="148"/>
      <c r="I73" s="148"/>
      <c r="J73" s="148"/>
      <c r="K73" s="149"/>
    </row>
    <row r="74" spans="2:17" ht="16" thickBot="1" x14ac:dyDescent="0.25">
      <c r="E74" s="4"/>
      <c r="F74" s="4"/>
      <c r="G74" s="4"/>
      <c r="H74" s="4"/>
      <c r="I74" s="8"/>
      <c r="J74" s="4"/>
      <c r="K74" s="4"/>
    </row>
    <row r="75" spans="2:17" ht="20" thickBot="1" x14ac:dyDescent="0.25">
      <c r="B75" s="74" t="s">
        <v>78</v>
      </c>
      <c r="C75" s="75"/>
      <c r="D75" s="75"/>
      <c r="E75" s="75"/>
      <c r="F75" s="75"/>
      <c r="G75" s="75"/>
      <c r="H75" s="75"/>
      <c r="I75" s="75"/>
      <c r="J75" s="75"/>
      <c r="K75" s="76"/>
    </row>
    <row r="76" spans="2:17" ht="16" thickBot="1" x14ac:dyDescent="0.25">
      <c r="C76" s="120" t="s">
        <v>65</v>
      </c>
      <c r="D76" s="121"/>
      <c r="E76" s="121"/>
      <c r="F76" s="121"/>
      <c r="G76" s="121"/>
      <c r="H76" s="121"/>
      <c r="I76" s="121"/>
      <c r="J76" s="121"/>
      <c r="K76" s="122"/>
      <c r="L76" s="4"/>
      <c r="M76" s="4"/>
      <c r="N76" s="4"/>
      <c r="O76" s="4"/>
      <c r="P76" s="4"/>
      <c r="Q76" s="4"/>
    </row>
    <row r="77" spans="2:17" x14ac:dyDescent="0.2">
      <c r="C77" s="89" t="s">
        <v>57</v>
      </c>
      <c r="D77" s="166" t="s">
        <v>74</v>
      </c>
      <c r="E77" s="166"/>
      <c r="F77" s="162" t="s">
        <v>14</v>
      </c>
      <c r="G77" s="162"/>
      <c r="H77" s="90" t="s">
        <v>21</v>
      </c>
      <c r="I77" s="90"/>
      <c r="J77" s="90"/>
      <c r="K77" s="93"/>
      <c r="L77" s="4"/>
      <c r="M77" s="4"/>
      <c r="N77" s="4"/>
      <c r="O77" s="4"/>
      <c r="P77" s="4"/>
      <c r="Q77" s="4"/>
    </row>
    <row r="78" spans="2:17" ht="16" thickBot="1" x14ac:dyDescent="0.25">
      <c r="C78" s="91"/>
      <c r="D78" s="167"/>
      <c r="E78" s="167"/>
      <c r="F78" s="163"/>
      <c r="G78" s="163"/>
      <c r="H78" s="92"/>
      <c r="I78" s="92"/>
      <c r="J78" s="92"/>
      <c r="K78" s="94"/>
      <c r="L78" s="4" t="s">
        <v>2</v>
      </c>
      <c r="M78" s="4" t="s">
        <v>3</v>
      </c>
      <c r="N78" s="4" t="s">
        <v>4</v>
      </c>
      <c r="O78" s="4" t="s">
        <v>5</v>
      </c>
      <c r="P78" s="4" t="s">
        <v>6</v>
      </c>
      <c r="Q78" s="4"/>
    </row>
    <row r="79" spans="2:17" ht="16" x14ac:dyDescent="0.2">
      <c r="C79" s="9" t="s">
        <v>49</v>
      </c>
      <c r="D79" s="151">
        <f>IF(OR(ISBLANK(G35), ISBLANK(F35), ISBLANK(D59)), "", ABS(((G35/2) + F35) -D59))</f>
        <v>0</v>
      </c>
      <c r="E79" s="151"/>
      <c r="F79" s="151">
        <f t="shared" ref="F79:F86" si="5">IF(OR(ISBLANK(E35), ISBLANK(G35), ISBLANK(H35), ISBLANK(D79)), "", IF(D79=0, E35*G35^3*1/12, E35*G35^3*1/12 + H35*D79^2))</f>
        <v>60074666.666666664</v>
      </c>
      <c r="G79" s="151"/>
      <c r="H79" s="153" t="str">
        <f t="shared" ref="H79:H86" si="6">IF(OR(ISBLANK(E35), ISBLANK(G35), ISBLANK(H35), ISBLANK(D79)), "",
    IF(D79=0,
    "(" &amp; E35 &amp; " * " &amp; G35 &amp; "³ * (1/12)) = " &amp; ROUND(E35*G35^3*(1/12), 1),
    "(" &amp; E35 &amp; " * " &amp; G35 &amp; "³ * (1/12)) + (" &amp; H35 &amp; " * " &amp; D79 &amp; "²) = " &amp; ROUND((E35*G35^3*(1/12)) + (H35*D79^2), 1)
    )
)</f>
        <v>(22 * 320³ * (1/12)) = 60074666.7</v>
      </c>
      <c r="I79" s="153"/>
      <c r="J79" s="153"/>
      <c r="K79" s="154"/>
      <c r="L79" s="4">
        <f t="shared" ref="L79:L86" si="7">D35</f>
        <v>0</v>
      </c>
      <c r="M79" s="4">
        <f t="shared" ref="M79:M86" si="8">D35+E35</f>
        <v>22</v>
      </c>
      <c r="N79" s="4">
        <f t="shared" ref="N79:N86" si="9">D35+E35</f>
        <v>22</v>
      </c>
      <c r="O79" s="4">
        <f t="shared" ref="O79:O86" si="10">D35</f>
        <v>0</v>
      </c>
      <c r="P79" s="4">
        <f t="shared" ref="P79:P86" si="11">D35</f>
        <v>0</v>
      </c>
      <c r="Q79" s="4"/>
    </row>
    <row r="80" spans="2:17" ht="16" x14ac:dyDescent="0.2">
      <c r="C80" s="9" t="s">
        <v>50</v>
      </c>
      <c r="D80" s="142">
        <f>IF(OR(ISBLANK(G36), ISBLANK(F36), ISBLANK(D59)), "", ABS(((G36/2) + F36) -D59))</f>
        <v>144</v>
      </c>
      <c r="E80" s="142"/>
      <c r="F80" s="142">
        <f t="shared" si="5"/>
        <v>136675584</v>
      </c>
      <c r="G80" s="142"/>
      <c r="H80" s="80" t="str">
        <f t="shared" si="6"/>
        <v>(274 * 24³ * (1/12)) + (6576 * 144²) = 136675584</v>
      </c>
      <c r="I80" s="80"/>
      <c r="J80" s="80"/>
      <c r="K80" s="81"/>
      <c r="L80" s="4">
        <f t="shared" si="7"/>
        <v>22</v>
      </c>
      <c r="M80" s="13">
        <f t="shared" si="8"/>
        <v>296</v>
      </c>
      <c r="N80" s="13">
        <f t="shared" si="9"/>
        <v>296</v>
      </c>
      <c r="O80" s="13">
        <f t="shared" si="10"/>
        <v>22</v>
      </c>
      <c r="P80" s="13">
        <f t="shared" si="11"/>
        <v>22</v>
      </c>
      <c r="Q80" s="4"/>
    </row>
    <row r="81" spans="2:17" ht="16" x14ac:dyDescent="0.2">
      <c r="C81" s="9" t="s">
        <v>51</v>
      </c>
      <c r="D81" s="142">
        <f>IF(OR(ISBLANK(G37), ISBLANK(F37), ISBLANK(D59)), "", ABS(((G37/2) + F37) -D59))</f>
        <v>144</v>
      </c>
      <c r="E81" s="142"/>
      <c r="F81" s="142">
        <f t="shared" si="5"/>
        <v>136675584</v>
      </c>
      <c r="G81" s="142"/>
      <c r="H81" s="80" t="str">
        <f t="shared" si="6"/>
        <v>(274 * 24³ * (1/12)) + (6576 * 144²) = 136675584</v>
      </c>
      <c r="I81" s="80"/>
      <c r="J81" s="80"/>
      <c r="K81" s="81"/>
      <c r="L81" s="4">
        <f t="shared" si="7"/>
        <v>22</v>
      </c>
      <c r="M81" s="13">
        <f t="shared" si="8"/>
        <v>296</v>
      </c>
      <c r="N81" s="13">
        <f t="shared" si="9"/>
        <v>296</v>
      </c>
      <c r="O81" s="13">
        <f t="shared" si="10"/>
        <v>22</v>
      </c>
      <c r="P81" s="13">
        <f t="shared" si="11"/>
        <v>22</v>
      </c>
      <c r="Q81" s="4"/>
    </row>
    <row r="82" spans="2:17" ht="16" x14ac:dyDescent="0.2">
      <c r="C82" s="9" t="s">
        <v>52</v>
      </c>
      <c r="D82" s="142">
        <f>IF(OR(ISBLANK(G38), ISBLANK(F38), ISBLANK(D59)), "", ABS(((G38/2) + F38) -D59))</f>
        <v>0</v>
      </c>
      <c r="E82" s="142"/>
      <c r="F82" s="142">
        <f t="shared" si="5"/>
        <v>60074666.666666664</v>
      </c>
      <c r="G82" s="142"/>
      <c r="H82" s="80" t="str">
        <f t="shared" si="6"/>
        <v>(22 * 320³ * (1/12)) = 60074666.7</v>
      </c>
      <c r="I82" s="80"/>
      <c r="J82" s="80"/>
      <c r="K82" s="81"/>
      <c r="L82" s="4">
        <f t="shared" si="7"/>
        <v>296</v>
      </c>
      <c r="M82" s="13">
        <f t="shared" si="8"/>
        <v>318</v>
      </c>
      <c r="N82" s="13">
        <f t="shared" si="9"/>
        <v>318</v>
      </c>
      <c r="O82" s="13">
        <f t="shared" si="10"/>
        <v>296</v>
      </c>
      <c r="P82" s="13">
        <f t="shared" si="11"/>
        <v>296</v>
      </c>
      <c r="Q82" s="4"/>
    </row>
    <row r="83" spans="2:17" ht="16" x14ac:dyDescent="0.2">
      <c r="C83" s="9" t="s">
        <v>53</v>
      </c>
      <c r="D83" s="142" t="str">
        <f>IF(OR(ISBLANK(G39), ISBLANK(F39), ISBLANK(D59)), "", ABS(((G39/2) + F39) -D59))</f>
        <v/>
      </c>
      <c r="E83" s="142"/>
      <c r="F83" s="142" t="str">
        <f t="shared" si="5"/>
        <v/>
      </c>
      <c r="G83" s="142"/>
      <c r="H83" s="80" t="str">
        <f t="shared" si="6"/>
        <v/>
      </c>
      <c r="I83" s="80"/>
      <c r="J83" s="80"/>
      <c r="K83" s="81"/>
      <c r="L83" s="13">
        <f t="shared" si="7"/>
        <v>0</v>
      </c>
      <c r="M83" s="13">
        <f t="shared" si="8"/>
        <v>0</v>
      </c>
      <c r="N83" s="13">
        <f t="shared" si="9"/>
        <v>0</v>
      </c>
      <c r="O83" s="13">
        <f t="shared" si="10"/>
        <v>0</v>
      </c>
      <c r="P83" s="13">
        <f t="shared" si="11"/>
        <v>0</v>
      </c>
      <c r="Q83" s="4"/>
    </row>
    <row r="84" spans="2:17" ht="16" x14ac:dyDescent="0.2">
      <c r="C84" s="9" t="s">
        <v>54</v>
      </c>
      <c r="D84" s="142" t="str">
        <f>IF(OR(ISBLANK(G40), ISBLANK(F40), ISBLANK(D59)), "", ABS(((G40/2) + F40) -D59))</f>
        <v/>
      </c>
      <c r="E84" s="142"/>
      <c r="F84" s="142" t="str">
        <f t="shared" si="5"/>
        <v/>
      </c>
      <c r="G84" s="142"/>
      <c r="H84" s="80" t="str">
        <f t="shared" si="6"/>
        <v/>
      </c>
      <c r="I84" s="80"/>
      <c r="J84" s="80"/>
      <c r="K84" s="81"/>
      <c r="L84" s="13">
        <f t="shared" si="7"/>
        <v>0</v>
      </c>
      <c r="M84" s="13">
        <f t="shared" si="8"/>
        <v>0</v>
      </c>
      <c r="N84" s="13">
        <f t="shared" si="9"/>
        <v>0</v>
      </c>
      <c r="O84" s="13">
        <f t="shared" si="10"/>
        <v>0</v>
      </c>
      <c r="P84" s="13">
        <f t="shared" si="11"/>
        <v>0</v>
      </c>
      <c r="Q84" s="4"/>
    </row>
    <row r="85" spans="2:17" ht="16" x14ac:dyDescent="0.2">
      <c r="C85" s="9" t="s">
        <v>55</v>
      </c>
      <c r="D85" s="142" t="str">
        <f>IF(OR(ISBLANK(G41), ISBLANK(F41), ISBLANK(D59)), "", ABS(((G41/2) + F41) -D59))</f>
        <v/>
      </c>
      <c r="E85" s="142"/>
      <c r="F85" s="142" t="str">
        <f t="shared" si="5"/>
        <v/>
      </c>
      <c r="G85" s="142"/>
      <c r="H85" s="80" t="str">
        <f t="shared" si="6"/>
        <v/>
      </c>
      <c r="I85" s="80"/>
      <c r="J85" s="80"/>
      <c r="K85" s="81"/>
      <c r="L85" s="13">
        <f t="shared" si="7"/>
        <v>0</v>
      </c>
      <c r="M85" s="13">
        <f t="shared" si="8"/>
        <v>0</v>
      </c>
      <c r="N85" s="13">
        <f t="shared" si="9"/>
        <v>0</v>
      </c>
      <c r="O85" s="13">
        <f t="shared" si="10"/>
        <v>0</v>
      </c>
      <c r="P85" s="13">
        <f t="shared" si="11"/>
        <v>0</v>
      </c>
      <c r="Q85" s="4"/>
    </row>
    <row r="86" spans="2:17" ht="17" thickBot="1" x14ac:dyDescent="0.25">
      <c r="C86" s="12" t="s">
        <v>56</v>
      </c>
      <c r="D86" s="143" t="str">
        <f>IF(OR(ISBLANK(G42), ISBLANK(F42), ISBLANK(D59)), "", ABS(((G42/2) + F42) -D59))</f>
        <v/>
      </c>
      <c r="E86" s="143"/>
      <c r="F86" s="143" t="str">
        <f t="shared" si="5"/>
        <v/>
      </c>
      <c r="G86" s="143"/>
      <c r="H86" s="155" t="str">
        <f t="shared" si="6"/>
        <v/>
      </c>
      <c r="I86" s="155"/>
      <c r="J86" s="155"/>
      <c r="K86" s="156"/>
      <c r="L86" s="13">
        <f t="shared" si="7"/>
        <v>0</v>
      </c>
      <c r="M86" s="13">
        <f t="shared" si="8"/>
        <v>0</v>
      </c>
      <c r="N86" s="13">
        <f t="shared" si="9"/>
        <v>0</v>
      </c>
      <c r="O86" s="13">
        <f t="shared" si="10"/>
        <v>0</v>
      </c>
      <c r="P86" s="13">
        <f t="shared" si="11"/>
        <v>0</v>
      </c>
      <c r="Q86" s="4"/>
    </row>
    <row r="87" spans="2:17" ht="17" thickBot="1" x14ac:dyDescent="0.25">
      <c r="C87" s="15" t="s">
        <v>29</v>
      </c>
      <c r="D87" s="16"/>
      <c r="E87" s="16"/>
      <c r="F87" s="150">
        <f>SUM(F79:F86)</f>
        <v>393500501.33333331</v>
      </c>
      <c r="G87" s="150"/>
      <c r="H87" s="170" t="str">
        <f>"Iy = "&amp;(ROUND(F87/10^6,2))&amp;" * 10⁶"</f>
        <v>Iy = 393.5 * 10⁶</v>
      </c>
      <c r="I87" s="171"/>
      <c r="J87" s="171"/>
      <c r="K87" s="172"/>
      <c r="L87" s="4"/>
      <c r="M87" s="4"/>
      <c r="N87" s="4"/>
      <c r="O87" s="4"/>
      <c r="P87" s="4"/>
      <c r="Q87" s="4"/>
    </row>
    <row r="88" spans="2:17" ht="16" thickBot="1" x14ac:dyDescent="0.25">
      <c r="C88" s="120" t="s">
        <v>66</v>
      </c>
      <c r="D88" s="121"/>
      <c r="E88" s="121"/>
      <c r="F88" s="121"/>
      <c r="G88" s="121"/>
      <c r="H88" s="121"/>
      <c r="I88" s="121"/>
      <c r="J88" s="121"/>
      <c r="K88" s="122"/>
      <c r="L88" s="4"/>
      <c r="M88" s="4"/>
      <c r="N88" s="4"/>
      <c r="O88" s="4"/>
      <c r="P88" s="4"/>
      <c r="Q88" s="4"/>
    </row>
    <row r="89" spans="2:17" x14ac:dyDescent="0.2">
      <c r="C89" s="89" t="s">
        <v>57</v>
      </c>
      <c r="D89" s="166" t="s">
        <v>73</v>
      </c>
      <c r="E89" s="166"/>
      <c r="F89" s="162" t="s">
        <v>15</v>
      </c>
      <c r="G89" s="162"/>
      <c r="H89" s="90" t="s">
        <v>21</v>
      </c>
      <c r="I89" s="90"/>
      <c r="J89" s="90"/>
      <c r="K89" s="93"/>
      <c r="L89" s="4"/>
      <c r="M89" s="4"/>
      <c r="N89" s="4"/>
      <c r="O89" s="4"/>
      <c r="P89" s="4"/>
      <c r="Q89" s="4"/>
    </row>
    <row r="90" spans="2:17" ht="16" thickBot="1" x14ac:dyDescent="0.25">
      <c r="C90" s="91"/>
      <c r="D90" s="167"/>
      <c r="E90" s="167"/>
      <c r="F90" s="163"/>
      <c r="G90" s="163"/>
      <c r="H90" s="92"/>
      <c r="I90" s="92"/>
      <c r="J90" s="92"/>
      <c r="K90" s="94"/>
      <c r="L90" s="13" t="s">
        <v>7</v>
      </c>
      <c r="M90" s="13" t="s">
        <v>8</v>
      </c>
      <c r="N90" s="13" t="s">
        <v>9</v>
      </c>
      <c r="O90" s="13" t="s">
        <v>10</v>
      </c>
      <c r="P90" s="13" t="s">
        <v>11</v>
      </c>
      <c r="Q90" s="4"/>
    </row>
    <row r="91" spans="2:17" ht="16" x14ac:dyDescent="0.2">
      <c r="C91" s="9" t="s">
        <v>49</v>
      </c>
      <c r="D91" s="151">
        <f>IF(OR(ISBLANK(E35), ISBLANK(D35), ISBLANK(D73)), "", ABS(((E35/2) + D35) -D73))</f>
        <v>148</v>
      </c>
      <c r="E91" s="151"/>
      <c r="F91" s="151">
        <f t="shared" ref="F91:F98" si="12">IF(OR(ISBLANK(G35), ISBLANK(E35), ISBLANK(H35), ISBLANK(D91)), "",
    IF(D91=0, (G35*E35^3*1/12), (G35*E35^3*1/12) + (H35*D91^2))
)</f>
        <v>154488106.66666666</v>
      </c>
      <c r="G91" s="151"/>
      <c r="H91" s="80" t="str">
        <f t="shared" ref="H91:H98" si="13">IF(OR(ISBLANK(G35), ISBLANK(E35), ISBLANK(H35), ISBLANK(D91)), "",
    IF(D91=0,
    "(" &amp; G35 &amp; " * " &amp; E35 &amp; "³ * (1/12)) = " &amp; ROUND(G35*E35^3*(1/12), 1),
    "(" &amp; G35 &amp; " * " &amp; E35 &amp; "³ * (1/12)) + (" &amp; H35 &amp; " * " &amp; D91 &amp; "²) = " &amp; ROUND((G35*E35^3*(1/12)) + (H35*D91^2), 1)
    )
)</f>
        <v>(320 * 22³ * (1/12)) + (7040 * 148²) = 154488106.7</v>
      </c>
      <c r="I91" s="80"/>
      <c r="J91" s="80"/>
      <c r="K91" s="81"/>
      <c r="L91" s="13">
        <f t="shared" ref="L91:L98" si="14">F35</f>
        <v>0</v>
      </c>
      <c r="M91" s="13">
        <f t="shared" ref="M91:M98" si="15">F35</f>
        <v>0</v>
      </c>
      <c r="N91" s="13">
        <f t="shared" ref="N91:N98" si="16">F35+G35</f>
        <v>320</v>
      </c>
      <c r="O91" s="13">
        <f t="shared" ref="O91:O98" si="17">F35+G35</f>
        <v>320</v>
      </c>
      <c r="P91" s="13">
        <f t="shared" ref="P91:P98" si="18">F35</f>
        <v>0</v>
      </c>
      <c r="Q91" s="4"/>
    </row>
    <row r="92" spans="2:17" ht="16" x14ac:dyDescent="0.2">
      <c r="C92" s="9" t="s">
        <v>50</v>
      </c>
      <c r="D92" s="151">
        <f>IF(OR(ISBLANK(E36), ISBLANK(D36), ISBLANK(D73)), "", ABS(((E36/2) + D36) - D73))</f>
        <v>0</v>
      </c>
      <c r="E92" s="151"/>
      <c r="F92" s="151">
        <f t="shared" si="12"/>
        <v>41141648</v>
      </c>
      <c r="G92" s="151"/>
      <c r="H92" s="80" t="str">
        <f t="shared" si="13"/>
        <v>(24 * 274³ * (1/12)) = 41141648</v>
      </c>
      <c r="I92" s="80"/>
      <c r="J92" s="80"/>
      <c r="K92" s="81"/>
      <c r="L92" s="13">
        <f t="shared" si="14"/>
        <v>4</v>
      </c>
      <c r="M92" s="13">
        <f t="shared" si="15"/>
        <v>4</v>
      </c>
      <c r="N92" s="13">
        <f t="shared" si="16"/>
        <v>28</v>
      </c>
      <c r="O92" s="13">
        <f t="shared" si="17"/>
        <v>28</v>
      </c>
      <c r="P92" s="13">
        <f t="shared" si="18"/>
        <v>4</v>
      </c>
      <c r="Q92" s="4"/>
    </row>
    <row r="93" spans="2:17" ht="16" x14ac:dyDescent="0.2">
      <c r="C93" s="9" t="s">
        <v>51</v>
      </c>
      <c r="D93" s="151">
        <f>IF(OR(ISBLANK(E37), ISBLANK(D37), ISBLANK(D73)), "", ABS(((E37/2) + D37) -D73))</f>
        <v>0</v>
      </c>
      <c r="E93" s="151"/>
      <c r="F93" s="151">
        <f t="shared" si="12"/>
        <v>41141648</v>
      </c>
      <c r="G93" s="151"/>
      <c r="H93" s="80" t="str">
        <f t="shared" si="13"/>
        <v>(24 * 274³ * (1/12)) = 41141648</v>
      </c>
      <c r="I93" s="80"/>
      <c r="J93" s="80"/>
      <c r="K93" s="81"/>
      <c r="L93" s="13">
        <f t="shared" si="14"/>
        <v>292</v>
      </c>
      <c r="M93" s="13">
        <f t="shared" si="15"/>
        <v>292</v>
      </c>
      <c r="N93" s="13">
        <f t="shared" si="16"/>
        <v>316</v>
      </c>
      <c r="O93" s="13">
        <f t="shared" si="17"/>
        <v>316</v>
      </c>
      <c r="P93" s="13">
        <f t="shared" si="18"/>
        <v>292</v>
      </c>
      <c r="Q93" s="4"/>
    </row>
    <row r="94" spans="2:17" ht="16" x14ac:dyDescent="0.2">
      <c r="C94" s="9" t="s">
        <v>52</v>
      </c>
      <c r="D94" s="151">
        <f>IF(OR(ISBLANK(E38), ISBLANK(D38), ISBLANK(D73)), "", ABS(((E38/2) + D38) -D73))</f>
        <v>148</v>
      </c>
      <c r="E94" s="151"/>
      <c r="F94" s="151">
        <f t="shared" si="12"/>
        <v>154488106.66666666</v>
      </c>
      <c r="G94" s="151"/>
      <c r="H94" s="80" t="str">
        <f t="shared" si="13"/>
        <v>(320 * 22³ * (1/12)) + (7040 * 148²) = 154488106.7</v>
      </c>
      <c r="I94" s="80"/>
      <c r="J94" s="80"/>
      <c r="K94" s="81"/>
      <c r="L94" s="13">
        <f t="shared" si="14"/>
        <v>0</v>
      </c>
      <c r="M94" s="13">
        <f t="shared" si="15"/>
        <v>0</v>
      </c>
      <c r="N94" s="13">
        <f t="shared" si="16"/>
        <v>320</v>
      </c>
      <c r="O94" s="13">
        <f t="shared" si="17"/>
        <v>320</v>
      </c>
      <c r="P94" s="13">
        <f t="shared" si="18"/>
        <v>0</v>
      </c>
      <c r="Q94" s="4"/>
    </row>
    <row r="95" spans="2:17" ht="16" x14ac:dyDescent="0.2">
      <c r="C95" s="9" t="s">
        <v>53</v>
      </c>
      <c r="D95" s="151" t="str">
        <f>IF(OR(ISBLANK(E39), ISBLANK(D39), ISBLANK(D73)), "", ABS(((E39/2) + D39) -D73))</f>
        <v/>
      </c>
      <c r="E95" s="151"/>
      <c r="F95" s="151" t="str">
        <f t="shared" si="12"/>
        <v/>
      </c>
      <c r="G95" s="151"/>
      <c r="H95" s="80" t="str">
        <f t="shared" si="13"/>
        <v/>
      </c>
      <c r="I95" s="80"/>
      <c r="J95" s="80"/>
      <c r="K95" s="81"/>
      <c r="L95" s="13">
        <f t="shared" si="14"/>
        <v>0</v>
      </c>
      <c r="M95" s="13">
        <f t="shared" si="15"/>
        <v>0</v>
      </c>
      <c r="N95" s="13">
        <f t="shared" si="16"/>
        <v>0</v>
      </c>
      <c r="O95" s="13">
        <f t="shared" si="17"/>
        <v>0</v>
      </c>
      <c r="P95" s="13">
        <f t="shared" si="18"/>
        <v>0</v>
      </c>
      <c r="Q95" s="4"/>
    </row>
    <row r="96" spans="2:17" ht="16" x14ac:dyDescent="0.2">
      <c r="B96" s="61"/>
      <c r="C96" s="9" t="s">
        <v>54</v>
      </c>
      <c r="D96" s="151" t="str">
        <f>IF(OR(ISBLANK(E40), ISBLANK(D40), ISBLANK(D73)), "", ABS(((E40/2) + D40) -D73))</f>
        <v/>
      </c>
      <c r="E96" s="151"/>
      <c r="F96" s="151" t="str">
        <f t="shared" si="12"/>
        <v/>
      </c>
      <c r="G96" s="151"/>
      <c r="H96" s="80" t="str">
        <f t="shared" si="13"/>
        <v/>
      </c>
      <c r="I96" s="80"/>
      <c r="J96" s="80"/>
      <c r="K96" s="81"/>
      <c r="L96" s="13">
        <f t="shared" si="14"/>
        <v>0</v>
      </c>
      <c r="M96" s="13">
        <f t="shared" si="15"/>
        <v>0</v>
      </c>
      <c r="N96" s="13">
        <f t="shared" si="16"/>
        <v>0</v>
      </c>
      <c r="O96" s="13">
        <f t="shared" si="17"/>
        <v>0</v>
      </c>
      <c r="P96" s="13">
        <f t="shared" si="18"/>
        <v>0</v>
      </c>
      <c r="Q96" s="4"/>
    </row>
    <row r="97" spans="2:17" ht="16" x14ac:dyDescent="0.2">
      <c r="B97" s="61"/>
      <c r="C97" s="9" t="s">
        <v>55</v>
      </c>
      <c r="D97" s="151" t="str">
        <f>IF(OR(ISBLANK(E41), ISBLANK(D41), ISBLANK(D73)), "", ABS(((E41/2) + D41) -D73))</f>
        <v/>
      </c>
      <c r="E97" s="151"/>
      <c r="F97" s="151" t="str">
        <f t="shared" si="12"/>
        <v/>
      </c>
      <c r="G97" s="151"/>
      <c r="H97" s="80" t="str">
        <f t="shared" si="13"/>
        <v/>
      </c>
      <c r="I97" s="80"/>
      <c r="J97" s="80"/>
      <c r="K97" s="81"/>
      <c r="L97" s="13">
        <f t="shared" si="14"/>
        <v>0</v>
      </c>
      <c r="M97" s="13">
        <f t="shared" si="15"/>
        <v>0</v>
      </c>
      <c r="N97" s="13">
        <f t="shared" si="16"/>
        <v>0</v>
      </c>
      <c r="O97" s="13">
        <f t="shared" si="17"/>
        <v>0</v>
      </c>
      <c r="P97" s="13">
        <f t="shared" si="18"/>
        <v>0</v>
      </c>
      <c r="Q97" s="4"/>
    </row>
    <row r="98" spans="2:17" ht="17" thickBot="1" x14ac:dyDescent="0.25">
      <c r="B98" s="61"/>
      <c r="C98" s="12" t="s">
        <v>56</v>
      </c>
      <c r="D98" s="157" t="str">
        <f>IF(OR(ISBLANK(E42), ISBLANK(D42), ISBLANK(D73)), "", ABS(((E42/2) + D42) -D73))</f>
        <v/>
      </c>
      <c r="E98" s="157"/>
      <c r="F98" s="157" t="str">
        <f t="shared" si="12"/>
        <v/>
      </c>
      <c r="G98" s="157"/>
      <c r="H98" s="155" t="str">
        <f t="shared" si="13"/>
        <v/>
      </c>
      <c r="I98" s="155"/>
      <c r="J98" s="155"/>
      <c r="K98" s="156"/>
      <c r="L98" s="13">
        <f t="shared" si="14"/>
        <v>0</v>
      </c>
      <c r="M98" s="13">
        <f t="shared" si="15"/>
        <v>0</v>
      </c>
      <c r="N98" s="13">
        <f t="shared" si="16"/>
        <v>0</v>
      </c>
      <c r="O98" s="13">
        <f t="shared" si="17"/>
        <v>0</v>
      </c>
      <c r="P98" s="13">
        <f t="shared" si="18"/>
        <v>0</v>
      </c>
      <c r="Q98" s="4"/>
    </row>
    <row r="99" spans="2:17" ht="17" thickBot="1" x14ac:dyDescent="0.25">
      <c r="C99" s="15" t="s">
        <v>29</v>
      </c>
      <c r="D99" s="18"/>
      <c r="E99" s="16"/>
      <c r="F99" s="150">
        <f>SUM(F91:F98)</f>
        <v>391259509.33333331</v>
      </c>
      <c r="G99" s="150"/>
      <c r="H99" s="158" t="str">
        <f>"Iz = "&amp;(ROUND(F99/10^6,2)&amp;" * 10⁶")</f>
        <v>Iz = 391.26 * 10⁶</v>
      </c>
      <c r="I99" s="158"/>
      <c r="J99" s="158"/>
      <c r="K99" s="159"/>
      <c r="L99" s="4"/>
      <c r="M99" s="4"/>
      <c r="N99" s="4"/>
      <c r="O99" s="4"/>
      <c r="P99" s="4"/>
      <c r="Q99" s="4"/>
    </row>
    <row r="100" spans="2:17" ht="16" thickBot="1" x14ac:dyDescent="0.25"/>
    <row r="101" spans="2:17" ht="20" thickBot="1" x14ac:dyDescent="0.25">
      <c r="B101" s="74" t="s">
        <v>75</v>
      </c>
      <c r="C101" s="75"/>
      <c r="D101" s="75"/>
      <c r="E101" s="75"/>
      <c r="F101" s="75"/>
      <c r="G101" s="75"/>
      <c r="H101" s="75"/>
      <c r="I101" s="75"/>
      <c r="J101" s="75"/>
      <c r="K101" s="76"/>
    </row>
    <row r="102" spans="2:17" ht="16" thickBot="1" x14ac:dyDescent="0.25">
      <c r="C102" s="120" t="s">
        <v>76</v>
      </c>
      <c r="D102" s="121"/>
      <c r="E102" s="121"/>
      <c r="F102" s="121"/>
      <c r="G102" s="121"/>
      <c r="H102" s="121"/>
      <c r="I102" s="121"/>
      <c r="J102" s="121"/>
      <c r="K102" s="122"/>
    </row>
    <row r="103" spans="2:17" x14ac:dyDescent="0.2">
      <c r="C103" s="89" t="s">
        <v>28</v>
      </c>
      <c r="D103" s="90" t="s">
        <v>59</v>
      </c>
      <c r="E103" s="90"/>
      <c r="F103" s="90" t="s">
        <v>63</v>
      </c>
      <c r="G103" s="90"/>
      <c r="H103" s="90" t="s">
        <v>47</v>
      </c>
      <c r="I103" s="90" t="s">
        <v>27</v>
      </c>
      <c r="J103" s="90" t="s">
        <v>21</v>
      </c>
      <c r="K103" s="93"/>
    </row>
    <row r="104" spans="2:17" ht="16" thickBot="1" x14ac:dyDescent="0.25">
      <c r="C104" s="91"/>
      <c r="D104" s="92"/>
      <c r="E104" s="92"/>
      <c r="F104" s="92"/>
      <c r="G104" s="92"/>
      <c r="H104" s="92"/>
      <c r="I104" s="92"/>
      <c r="J104" s="92"/>
      <c r="K104" s="94"/>
    </row>
    <row r="105" spans="2:17" ht="16" x14ac:dyDescent="0.2">
      <c r="C105" s="21" t="s">
        <v>45</v>
      </c>
      <c r="D105" s="139">
        <f>D73</f>
        <v>159</v>
      </c>
      <c r="E105" s="139"/>
      <c r="F105" s="139" cm="1">
        <f t="array" ref="F105">MAX(D35:D42 + E35:E42)</f>
        <v>318</v>
      </c>
      <c r="G105" s="139"/>
      <c r="H105" s="25">
        <f>ABS(F105-D105)</f>
        <v>159</v>
      </c>
      <c r="I105" s="32">
        <f>F99/H105</f>
        <v>2460751.6310272533</v>
      </c>
      <c r="J105" s="80" t="str">
        <f>IF(OR(ISBLANK(F99), ISBLANK(H105)), "",
    IF(H105=0, "",
        "Wo,Y = " &amp; ROUND(F99, 2) &amp; " / " &amp; ROUND(H105, 2) &amp; " / 10^6 = " &amp; ROUND((F99/H105)/10^6, 2) &amp; " * 10^6"
    )
)</f>
        <v>Wo,Y = 391259509.33 / 159 / 10^6 = 2.46 * 10^6</v>
      </c>
      <c r="K105" s="81"/>
    </row>
    <row r="106" spans="2:17" ht="17" thickBot="1" x14ac:dyDescent="0.25">
      <c r="C106" s="21" t="s">
        <v>46</v>
      </c>
      <c r="D106" s="152">
        <f>D73</f>
        <v>159</v>
      </c>
      <c r="E106" s="152"/>
      <c r="F106" s="152" cm="1">
        <f t="array" ref="F106">MAX(D35:D42 + E35:E42)</f>
        <v>318</v>
      </c>
      <c r="G106" s="152"/>
      <c r="H106" s="29">
        <f>ABS(F106-D106)</f>
        <v>159</v>
      </c>
      <c r="I106" s="32">
        <f>F99/D106</f>
        <v>2460751.6310272533</v>
      </c>
      <c r="J106" s="83" t="str">
        <f>IF(OR(ISBLANK(F99), ISBLANK(D106)), "",
    IF(D106=0, "",
        "Wu,Y = " &amp; ROUND(F99, 2) &amp; " / " &amp; ROUND(D106, 2) &amp; " / 10^6 = " &amp; ROUND((F99/D106)/10^6, 2) &amp; " * 10^6"
    )
)</f>
        <v>Wu,Y = 391259509.33 / 159 / 10^6 = 2.46 * 10^6</v>
      </c>
      <c r="K106" s="84"/>
    </row>
    <row r="107" spans="2:17" ht="16" thickBot="1" x14ac:dyDescent="0.25">
      <c r="C107" s="120" t="s">
        <v>77</v>
      </c>
      <c r="D107" s="121"/>
      <c r="E107" s="121"/>
      <c r="F107" s="121"/>
      <c r="G107" s="121"/>
      <c r="H107" s="121"/>
      <c r="I107" s="121"/>
      <c r="J107" s="121"/>
      <c r="K107" s="122"/>
    </row>
    <row r="108" spans="2:17" x14ac:dyDescent="0.2">
      <c r="C108" s="89" t="s">
        <v>28</v>
      </c>
      <c r="D108" s="90" t="s">
        <v>61</v>
      </c>
      <c r="E108" s="90"/>
      <c r="F108" s="90" t="s">
        <v>62</v>
      </c>
      <c r="G108" s="90"/>
      <c r="H108" s="90" t="s">
        <v>60</v>
      </c>
      <c r="I108" s="90" t="s">
        <v>27</v>
      </c>
      <c r="J108" s="90" t="s">
        <v>21</v>
      </c>
      <c r="K108" s="93"/>
    </row>
    <row r="109" spans="2:17" ht="16" thickBot="1" x14ac:dyDescent="0.25">
      <c r="C109" s="91"/>
      <c r="D109" s="92"/>
      <c r="E109" s="92"/>
      <c r="F109" s="92"/>
      <c r="G109" s="92"/>
      <c r="H109" s="92"/>
      <c r="I109" s="92"/>
      <c r="J109" s="92"/>
      <c r="K109" s="94"/>
    </row>
    <row r="110" spans="2:17" ht="16" x14ac:dyDescent="0.2">
      <c r="C110" s="21" t="s">
        <v>44</v>
      </c>
      <c r="D110" s="138">
        <f>D59</f>
        <v>160</v>
      </c>
      <c r="E110" s="138"/>
      <c r="F110" s="138" cm="1">
        <f t="array" ref="F110">MAX(F35:F42 + G35:G42)</f>
        <v>320</v>
      </c>
      <c r="G110" s="138"/>
      <c r="H110" s="28">
        <f>ABS(D110-F110)</f>
        <v>160</v>
      </c>
      <c r="I110" s="32">
        <f>F87/H110</f>
        <v>2459378.1333333333</v>
      </c>
      <c r="J110" s="153" t="str">
        <f>IF(OR(ISBLANK(F87), ISBLANK(H110)), "",
    IF(H110=0, "",
        "Wo,Z = " &amp; ROUND(F87, 2) &amp; " / " &amp; ROUND(H110, 2) &amp; " / 10^6 = " &amp; ROUND((F87/H110)/10^6, 2) &amp; " * 10^6"
    )
)</f>
        <v>Wo,Z = 393500501.33 / 160 / 10^6 = 2.46 * 10^6</v>
      </c>
      <c r="K110" s="154"/>
    </row>
    <row r="111" spans="2:17" ht="17" thickBot="1" x14ac:dyDescent="0.25">
      <c r="C111" s="22" t="s">
        <v>43</v>
      </c>
      <c r="D111" s="152">
        <f>D59</f>
        <v>160</v>
      </c>
      <c r="E111" s="152"/>
      <c r="F111" s="152" cm="1">
        <f t="array" ref="F111">MAX(F35:F42 + G35:G42)</f>
        <v>320</v>
      </c>
      <c r="G111" s="152"/>
      <c r="H111" s="29">
        <f>ABS(D111-F111)</f>
        <v>160</v>
      </c>
      <c r="I111" s="33">
        <f>F87/D111</f>
        <v>2459378.1333333333</v>
      </c>
      <c r="J111" s="83" t="str">
        <f>IF(OR(ISBLANK(F87), ISBLANK(D111)), "",
    IF(D111=0, "",
        "Wu,Z = " &amp; ROUND(F87, 2) &amp; " / " &amp; ROUND(D111, 2) &amp; " / 10^6 = " &amp; ROUND((F87/D111)/10^6, 2) &amp; " * 10^6"
    )
)</f>
        <v>Wu,Z = 393500501.33 / 160 / 10^6 = 2.46 * 10^6</v>
      </c>
      <c r="K111" s="84"/>
    </row>
    <row r="112" spans="2:17" ht="16" thickBot="1" x14ac:dyDescent="0.25"/>
    <row r="113" spans="2:11" ht="20" thickBot="1" x14ac:dyDescent="0.25">
      <c r="B113" s="74" t="s">
        <v>34</v>
      </c>
      <c r="C113" s="75"/>
      <c r="D113" s="75"/>
      <c r="E113" s="75"/>
      <c r="F113" s="75"/>
      <c r="G113" s="75"/>
      <c r="H113" s="75"/>
      <c r="I113" s="75"/>
      <c r="J113" s="75"/>
      <c r="K113" s="76"/>
    </row>
    <row r="114" spans="2:11" ht="16" thickBot="1" x14ac:dyDescent="0.25">
      <c r="C114" s="108" t="s">
        <v>37</v>
      </c>
      <c r="D114" s="121"/>
      <c r="E114" s="121"/>
      <c r="F114" s="121"/>
      <c r="G114" s="121"/>
      <c r="H114" s="121"/>
      <c r="I114" s="121"/>
      <c r="J114" s="121"/>
      <c r="K114" s="122"/>
    </row>
    <row r="115" spans="2:11" ht="17" thickBot="1" x14ac:dyDescent="0.25">
      <c r="C115" s="18" t="s">
        <v>36</v>
      </c>
      <c r="D115" s="19">
        <v>80</v>
      </c>
      <c r="E115" s="5" t="s">
        <v>41</v>
      </c>
    </row>
    <row r="116" spans="2:11" x14ac:dyDescent="0.2">
      <c r="C116" s="89" t="s">
        <v>28</v>
      </c>
      <c r="D116" s="90"/>
      <c r="E116" s="90"/>
      <c r="F116" s="90" t="s">
        <v>42</v>
      </c>
      <c r="G116" s="90"/>
      <c r="H116" s="90" t="s">
        <v>21</v>
      </c>
      <c r="I116" s="90"/>
      <c r="J116" s="90"/>
      <c r="K116" s="93"/>
    </row>
    <row r="117" spans="2:11" ht="16" thickBot="1" x14ac:dyDescent="0.25">
      <c r="C117" s="91"/>
      <c r="D117" s="92"/>
      <c r="E117" s="92"/>
      <c r="F117" s="92"/>
      <c r="G117" s="92"/>
      <c r="H117" s="92"/>
      <c r="I117" s="92"/>
      <c r="J117" s="92"/>
      <c r="K117" s="94"/>
    </row>
    <row r="118" spans="2:11" ht="17" thickBot="1" x14ac:dyDescent="0.25">
      <c r="C118" s="125" t="s">
        <v>67</v>
      </c>
      <c r="D118" s="126"/>
      <c r="E118" s="127"/>
      <c r="F118" s="123">
        <f>(D115*10^6*H105)/F99</f>
        <v>32.510391943376902</v>
      </c>
      <c r="G118" s="124"/>
      <c r="H118" s="113" t="str">
        <f>"σMu = (" &amp; D115 &amp; " * 10^6 * " &amp; H105 &amp; ") / " &amp; F99 &amp; " = " &amp; ROUND((D115 * 10^6 * H105) / F99, 2) &amp; " N/mm²"</f>
        <v>σMu = (80 * 10^6 * 159) / 391259509.333333 = 32.51 N/mm²</v>
      </c>
      <c r="I118" s="114"/>
      <c r="J118" s="114"/>
      <c r="K118" s="115"/>
    </row>
    <row r="119" spans="2:11" ht="17" thickBot="1" x14ac:dyDescent="0.25">
      <c r="B119" s="4"/>
      <c r="C119" s="128" t="s">
        <v>68</v>
      </c>
      <c r="D119" s="129"/>
      <c r="E119" s="130"/>
      <c r="F119" s="96">
        <f>(D115*10^6*D105)/F99</f>
        <v>32.510391943376902</v>
      </c>
      <c r="G119" s="97"/>
      <c r="H119" s="131" t="str">
        <f>"σMo = (" &amp; ROUND(D115, 2) &amp; " * 10^6 * " &amp; ROUND(D105, 2) &amp; ") / " &amp; ROUND(F99, 2) &amp; " = " &amp; ROUND((D115*10^6*D105)/F99, 2) &amp; " N/mm²"</f>
        <v>σMo = (80 * 10^6 * 159) / 391259509.33 = 32.51 N/mm²</v>
      </c>
      <c r="I119" s="132"/>
      <c r="J119" s="132" t="str">
        <f>IF(OR(ISBLANK(F112), ISBLANK(D119)), "",
    IF(D119=0, "",
        "Wu,Y = " &amp; ROUND(F112, 2) &amp; " / " &amp; ROUND(D119, 2) &amp; " / 10^6 = " &amp; ROUND((F112/D119)/10^6, 2) &amp; " * 10^6"
    )
)</f>
        <v/>
      </c>
      <c r="K119" s="133"/>
    </row>
    <row r="120" spans="2:11" ht="16" thickBot="1" x14ac:dyDescent="0.25">
      <c r="B120" s="4"/>
      <c r="C120" s="120" t="s">
        <v>38</v>
      </c>
      <c r="D120" s="121"/>
      <c r="E120" s="121"/>
      <c r="F120" s="121"/>
      <c r="G120" s="121"/>
      <c r="H120" s="121"/>
      <c r="I120" s="121"/>
      <c r="J120" s="121"/>
      <c r="K120" s="122"/>
    </row>
    <row r="121" spans="2:11" ht="17" thickBot="1" x14ac:dyDescent="0.25">
      <c r="B121" s="4"/>
      <c r="C121" s="18" t="s">
        <v>35</v>
      </c>
      <c r="D121" s="19">
        <v>23</v>
      </c>
      <c r="E121" s="5" t="s">
        <v>41</v>
      </c>
    </row>
    <row r="122" spans="2:11" x14ac:dyDescent="0.2">
      <c r="B122" s="4"/>
      <c r="C122" s="89" t="s">
        <v>28</v>
      </c>
      <c r="D122" s="90"/>
      <c r="E122" s="90"/>
      <c r="F122" s="90" t="s">
        <v>42</v>
      </c>
      <c r="G122" s="90"/>
      <c r="H122" s="90" t="s">
        <v>21</v>
      </c>
      <c r="I122" s="90"/>
      <c r="J122" s="90"/>
      <c r="K122" s="93"/>
    </row>
    <row r="123" spans="2:11" ht="16" thickBot="1" x14ac:dyDescent="0.25">
      <c r="B123" s="4"/>
      <c r="C123" s="91"/>
      <c r="D123" s="92"/>
      <c r="E123" s="92"/>
      <c r="F123" s="92"/>
      <c r="G123" s="92"/>
      <c r="H123" s="92"/>
      <c r="I123" s="92"/>
      <c r="J123" s="92"/>
      <c r="K123" s="94"/>
    </row>
    <row r="124" spans="2:11" ht="17" thickBot="1" x14ac:dyDescent="0.25">
      <c r="B124" s="4"/>
      <c r="C124" s="100" t="s">
        <v>39</v>
      </c>
      <c r="D124" s="101"/>
      <c r="E124" s="102"/>
      <c r="F124" s="96">
        <f>(D121*10^6*H110)/F87</f>
        <v>9.3519575897126526</v>
      </c>
      <c r="G124" s="97"/>
      <c r="H124" s="113" t="str">
        <f>"σMu = (" &amp; ROUND(D121, 2) &amp; " * 10^6 * " &amp; ROUND(H110, 2) &amp; ") / " &amp; ROUND(F87, 2) &amp; " = " &amp; ROUND((D121*10^6*H110)/F87, 2) &amp; " N/mm²"</f>
        <v>σMu = (23 * 10^6 * 160) / 393500501.33 = 9.35 N/mm²</v>
      </c>
      <c r="I124" s="114"/>
      <c r="J124" s="114" t="str">
        <f>IF(OR(ISBLANK(F100), ISBLANK(H124)), "",
    IF(H124=0, "",
        "Wo,Z = " &amp; ROUND(F100, 2) &amp; " / " &amp; ROUND(H124, 2) &amp; " / 10^6 = " &amp; ROUND((F100/H124)/10^6, 2) &amp; " * 10^6"
    )
)</f>
        <v/>
      </c>
      <c r="K124" s="115"/>
    </row>
    <row r="125" spans="2:11" ht="17" thickBot="1" x14ac:dyDescent="0.25">
      <c r="B125" s="4"/>
      <c r="C125" s="103" t="s">
        <v>40</v>
      </c>
      <c r="D125" s="104"/>
      <c r="E125" s="105"/>
      <c r="F125" s="98">
        <f>(D121*10^6*D110)/F87</f>
        <v>9.3519575897126526</v>
      </c>
      <c r="G125" s="99"/>
      <c r="H125" s="116" t="str">
        <f>"σMo = (" &amp; ROUND(D121, 2) &amp; " * 10^6 * " &amp; ROUND(D110, 2) &amp; ") / " &amp; ROUND(F87, 2) &amp; " = " &amp; ROUND((D121*10^6*D110)/F87, 2) &amp; " N/mm²"</f>
        <v>σMo = (23 * 10^6 * 160) / 393500501.33 = 9.35 N/mm²</v>
      </c>
      <c r="I125" s="117"/>
      <c r="J125" s="117" t="str">
        <f>IF(OR(ISBLANK(F100), ISBLANK(D125)), "",
    IF(D125=0, "",
        "Wu,Z = " &amp; ROUND(F100, 2) &amp; " / " &amp; ROUND(D125, 2) &amp; " / 10^6 = " &amp; ROUND((F100/D125)/10^6, 2) &amp; " * 10^6"
    )
)</f>
        <v/>
      </c>
      <c r="K125" s="118"/>
    </row>
    <row r="126" spans="2:11" ht="16" thickBot="1" x14ac:dyDescent="0.25">
      <c r="B126" s="4"/>
      <c r="C126" s="41"/>
      <c r="D126" s="41"/>
      <c r="E126" s="41"/>
    </row>
    <row r="127" spans="2:11" ht="20" thickBot="1" x14ac:dyDescent="0.25">
      <c r="B127" s="74" t="s">
        <v>101</v>
      </c>
      <c r="C127" s="75"/>
      <c r="D127" s="75"/>
      <c r="E127" s="75"/>
      <c r="F127" s="75"/>
      <c r="G127" s="75"/>
      <c r="H127" s="75"/>
      <c r="I127" s="75"/>
      <c r="J127" s="76"/>
    </row>
    <row r="128" spans="2:11" x14ac:dyDescent="0.2">
      <c r="C128" s="89" t="s">
        <v>107</v>
      </c>
      <c r="D128" s="90"/>
      <c r="E128" s="90" t="s">
        <v>106</v>
      </c>
      <c r="F128" s="90" t="s">
        <v>108</v>
      </c>
      <c r="G128" s="90" t="s">
        <v>21</v>
      </c>
      <c r="H128" s="90"/>
      <c r="I128" s="90"/>
      <c r="J128" s="93"/>
    </row>
    <row r="129" spans="2:11" ht="16" thickBot="1" x14ac:dyDescent="0.25">
      <c r="C129" s="91"/>
      <c r="D129" s="92"/>
      <c r="E129" s="92"/>
      <c r="F129" s="92"/>
      <c r="G129" s="92"/>
      <c r="H129" s="92"/>
      <c r="I129" s="92"/>
      <c r="J129" s="94"/>
      <c r="K129" s="59"/>
    </row>
    <row r="130" spans="2:11" ht="16" x14ac:dyDescent="0.2">
      <c r="B130" s="4"/>
      <c r="C130" s="111" t="s">
        <v>120</v>
      </c>
      <c r="D130" s="119"/>
      <c r="E130" s="67" t="s">
        <v>86</v>
      </c>
      <c r="F130" s="45"/>
      <c r="G130" s="62"/>
      <c r="H130" s="45"/>
      <c r="I130" s="45"/>
      <c r="J130" s="60"/>
    </row>
    <row r="131" spans="2:11" ht="16" x14ac:dyDescent="0.2">
      <c r="C131" s="77" t="s">
        <v>98</v>
      </c>
      <c r="D131" s="88"/>
      <c r="E131" s="68" t="s">
        <v>115</v>
      </c>
      <c r="G131" s="173"/>
      <c r="H131" s="174"/>
      <c r="I131" s="174"/>
      <c r="J131" s="175"/>
    </row>
    <row r="132" spans="2:11" ht="16" x14ac:dyDescent="0.2">
      <c r="C132" s="77" t="s">
        <v>105</v>
      </c>
      <c r="D132" s="88"/>
      <c r="E132" s="23">
        <v>4500</v>
      </c>
      <c r="F132" s="5" t="s">
        <v>48</v>
      </c>
      <c r="G132" s="63"/>
      <c r="J132" s="56"/>
    </row>
    <row r="133" spans="2:11" ht="16" x14ac:dyDescent="0.2">
      <c r="C133" s="77" t="s">
        <v>121</v>
      </c>
      <c r="D133" s="78"/>
      <c r="E133" s="179">
        <v>1.05</v>
      </c>
      <c r="G133" s="176" t="s">
        <v>126</v>
      </c>
      <c r="H133" s="177"/>
      <c r="I133" s="177"/>
      <c r="J133" s="178"/>
    </row>
    <row r="134" spans="2:11" ht="16" x14ac:dyDescent="0.2">
      <c r="C134" s="77" t="s">
        <v>113</v>
      </c>
      <c r="D134" s="78"/>
      <c r="E134" s="40">
        <f>VLOOKUP(E130,Fliesschlankheit!A2:C5,2,FALSE)</f>
        <v>460</v>
      </c>
      <c r="F134" s="5" t="s">
        <v>111</v>
      </c>
      <c r="G134" s="173"/>
      <c r="H134" s="174"/>
      <c r="I134" s="174"/>
      <c r="J134" s="175"/>
    </row>
    <row r="135" spans="2:11" ht="16" x14ac:dyDescent="0.2">
      <c r="C135" s="77" t="s">
        <v>109</v>
      </c>
      <c r="D135" s="78"/>
      <c r="E135" s="40">
        <f>VLOOKUP(E130,Fliesschlankheit!A2:C5,3,FALSE)</f>
        <v>67.099999999999994</v>
      </c>
      <c r="F135" s="55"/>
      <c r="G135" s="71" t="s">
        <v>110</v>
      </c>
      <c r="H135" s="72"/>
      <c r="I135" s="72"/>
      <c r="J135" s="73"/>
      <c r="K135" s="57"/>
    </row>
    <row r="136" spans="2:11" ht="16" x14ac:dyDescent="0.2">
      <c r="C136" s="77" t="s">
        <v>130</v>
      </c>
      <c r="D136" s="78"/>
      <c r="E136" s="40">
        <f>SQRT(F87/H43)</f>
        <v>120.20786279650841</v>
      </c>
      <c r="F136" s="5" t="s">
        <v>48</v>
      </c>
      <c r="G136" s="79" t="str">
        <f>"√(" &amp; ROUND(F87, 2) &amp; " mm⁴ / " &amp; ROUND(D58, 2) &amp; " mm²) = " &amp; ROUND(SQRT(F87/D58), 2) &amp; " mm"</f>
        <v>√(393500501.33 mm⁴ / 27232 mm²) = 120.21 mm</v>
      </c>
      <c r="H136" s="80"/>
      <c r="I136" s="80"/>
      <c r="J136" s="81"/>
      <c r="K136" s="49"/>
    </row>
    <row r="137" spans="2:11" ht="17" thickBot="1" x14ac:dyDescent="0.25">
      <c r="C137" s="77" t="s">
        <v>131</v>
      </c>
      <c r="D137" s="78"/>
      <c r="E137" s="54">
        <f>SQRT(F99/D72)</f>
        <v>119.8650811586069</v>
      </c>
      <c r="F137" s="5" t="s">
        <v>48</v>
      </c>
      <c r="G137" s="82" t="str">
        <f>"√(" &amp; ROUND(F99, 2) &amp; " mm⁴ / " &amp; ROUND(D58, 2) &amp; " mm²) = " &amp; ROUND(SQRT(F99/D58), 2) &amp; " mm"</f>
        <v>√(391259509.33 mm⁴ / 27232 mm²) = 119.87 mm</v>
      </c>
      <c r="H137" s="83"/>
      <c r="I137" s="83"/>
      <c r="J137" s="84"/>
      <c r="K137" s="49"/>
    </row>
    <row r="138" spans="2:11" ht="16" customHeight="1" thickBot="1" x14ac:dyDescent="0.25">
      <c r="C138" s="108" t="s">
        <v>135</v>
      </c>
      <c r="D138" s="109"/>
      <c r="E138" s="109"/>
      <c r="F138" s="109"/>
      <c r="G138" s="109"/>
      <c r="H138" s="109"/>
      <c r="I138" s="109"/>
      <c r="J138" s="110"/>
      <c r="K138" s="49"/>
    </row>
    <row r="139" spans="2:11" ht="16" x14ac:dyDescent="0.2">
      <c r="C139" s="111" t="s">
        <v>118</v>
      </c>
      <c r="D139" s="112"/>
      <c r="E139" s="53">
        <f>E132/E136</f>
        <v>37.435155199604033</v>
      </c>
      <c r="F139" s="55"/>
      <c r="G139" s="85" t="str">
        <f>ROUND(E132, 2) &amp; " mm / " &amp; ROUND(E136, 2) &amp; " mm = " &amp; ROUND(E132/E136, 2)</f>
        <v>4500 mm / 120.21 mm = 37.44</v>
      </c>
      <c r="H139" s="86"/>
      <c r="I139" s="86"/>
      <c r="J139" s="87"/>
      <c r="K139" s="49"/>
    </row>
    <row r="140" spans="2:11" ht="16" x14ac:dyDescent="0.2">
      <c r="C140" s="77" t="s">
        <v>119</v>
      </c>
      <c r="D140" s="78"/>
      <c r="E140" s="52">
        <f>E139/E135</f>
        <v>0.55790097167815256</v>
      </c>
      <c r="F140" s="55"/>
      <c r="G140" s="79" t="str">
        <f>ROUND(E139, 2) &amp; " / " &amp; ROUND(E135, 2) &amp; " = " &amp; ROUND(E139/E135, 4)</f>
        <v>37.44 / 67.1 = 0.5579</v>
      </c>
      <c r="H140" s="80"/>
      <c r="I140" s="80"/>
      <c r="J140" s="81"/>
      <c r="K140" s="49"/>
    </row>
    <row r="141" spans="2:11" ht="16" x14ac:dyDescent="0.2">
      <c r="C141" s="77" t="s">
        <v>127</v>
      </c>
      <c r="D141" s="78"/>
      <c r="E141" s="46">
        <f>IF(E131="a",
    INDEX('Knickspannungskurve A'!B1:B351, MATCH(ROUND(E140, 2), 'Knickspannungskurve A'!A1:A351, 1)),
    IF(E131="b",
        INDEX('Knickspannungskurve B'!B1:B351, MATCH(ROUND(E140, 2), 'Knickspannungskurve B'!A1:A351, 1)),
        IF(E131="c",
            INDEX('Knickspannungskurve C'!B1:B351, MATCH(ROUND(E140, 2), 'Knickspannungskurve C'!A1:A351, 1)),
            "Fehler: Ungültige Eingabe in D126"
        )
    )
)</f>
        <v>0.85660000000000003</v>
      </c>
      <c r="F141" s="55"/>
      <c r="G141" s="71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41" s="72"/>
      <c r="I141" s="72"/>
      <c r="J141" s="73"/>
      <c r="K141" s="58"/>
    </row>
    <row r="142" spans="2:11" ht="16" x14ac:dyDescent="0.2">
      <c r="C142" s="69" t="s">
        <v>123</v>
      </c>
      <c r="D142" s="70"/>
      <c r="E142" s="50">
        <f>(E141*E134)/(E133*10^3)</f>
        <v>0.37527238095238097</v>
      </c>
      <c r="F142" s="5" t="s">
        <v>124</v>
      </c>
      <c r="G142" s="79" t="str">
        <f>ROUND(E141, 4) &amp; " * " &amp; ROUND(E134, 2) &amp; " N/mm² / (" &amp; ROUND(E133, 2) &amp; " * 10³) = " &amp; ROUND((E141*E134)/(E133*10^3), 4) &amp; " kN"</f>
        <v>0.8566 * 460 N/mm² / (1.05 * 10³) = 0.3753 kN</v>
      </c>
      <c r="H142" s="80"/>
      <c r="I142" s="80"/>
      <c r="J142" s="81"/>
      <c r="K142" s="58"/>
    </row>
    <row r="143" spans="2:11" ht="17" thickBot="1" x14ac:dyDescent="0.25">
      <c r="C143" s="77" t="s">
        <v>122</v>
      </c>
      <c r="D143" s="78"/>
      <c r="E143" s="64">
        <f>E142*H43</f>
        <v>10219.417478095238</v>
      </c>
      <c r="F143" s="5" t="s">
        <v>79</v>
      </c>
      <c r="G143" s="82" t="str">
        <f>ROUND(E142, 4) &amp; " kN/mm² * " &amp; ROUND(H43, 2) &amp; " mm² = " &amp; ROUND((E142*H43), 2) &amp; " kN"</f>
        <v>0.3753 kN/mm² * 27232 mm² = 10219.42 kN</v>
      </c>
      <c r="H143" s="83"/>
      <c r="I143" s="83"/>
      <c r="J143" s="84"/>
      <c r="K143" s="48"/>
    </row>
    <row r="144" spans="2:11" ht="16" customHeight="1" thickBot="1" x14ac:dyDescent="0.25">
      <c r="C144" s="108" t="s">
        <v>134</v>
      </c>
      <c r="D144" s="109"/>
      <c r="E144" s="109"/>
      <c r="F144" s="109"/>
      <c r="G144" s="109"/>
      <c r="H144" s="109"/>
      <c r="I144" s="109"/>
      <c r="J144" s="110"/>
      <c r="K144" s="49"/>
    </row>
    <row r="145" spans="3:11" ht="16" x14ac:dyDescent="0.2">
      <c r="C145" s="111" t="s">
        <v>118</v>
      </c>
      <c r="D145" s="112"/>
      <c r="E145" s="53">
        <f>E132/E136</f>
        <v>37.435155199604033</v>
      </c>
      <c r="F145" s="55"/>
      <c r="G145" s="85" t="str">
        <f>ROUND(E132, 2) &amp; " mm / " &amp; ROUND(E136, 2) &amp; " mm = " &amp; ROUND(E132/E136, 2)</f>
        <v>4500 mm / 120.21 mm = 37.44</v>
      </c>
      <c r="H145" s="86"/>
      <c r="I145" s="86"/>
      <c r="J145" s="87"/>
      <c r="K145" s="49"/>
    </row>
    <row r="146" spans="3:11" ht="16" x14ac:dyDescent="0.2">
      <c r="C146" s="77" t="s">
        <v>119</v>
      </c>
      <c r="D146" s="78"/>
      <c r="E146" s="51">
        <f>E145/E135</f>
        <v>0.55790097167815256</v>
      </c>
      <c r="F146" s="55"/>
      <c r="G146" s="79" t="str">
        <f>ROUND(E145, 2) &amp; " / " &amp; ROUND(E135, 2) &amp; " = " &amp; ROUND(E145/E135, 4)</f>
        <v>37.44 / 67.1 = 0.5579</v>
      </c>
      <c r="H146" s="80"/>
      <c r="I146" s="80"/>
      <c r="J146" s="81"/>
      <c r="K146" s="49"/>
    </row>
    <row r="147" spans="3:11" ht="16" x14ac:dyDescent="0.2">
      <c r="C147" s="77" t="s">
        <v>128</v>
      </c>
      <c r="D147" s="78"/>
      <c r="E147" s="51">
        <f>VLOOKUP(Berechnungen!E131,'lmperfektionsbeiwert aK'!A2:B5,2,FALSE)</f>
        <v>0.34</v>
      </c>
      <c r="F147" s="55"/>
      <c r="G147" s="71" t="s">
        <v>110</v>
      </c>
      <c r="H147" s="72"/>
      <c r="I147" s="72"/>
      <c r="J147" s="73"/>
      <c r="K147" s="57"/>
    </row>
    <row r="148" spans="3:11" ht="16" x14ac:dyDescent="0.2">
      <c r="C148" s="77" t="s">
        <v>112</v>
      </c>
      <c r="D148" s="78"/>
      <c r="E148" s="50">
        <f>0.5*(1+E147*(E146-0.2)+E146^2)</f>
        <v>0.71646991228499934</v>
      </c>
      <c r="F148" s="55"/>
      <c r="G148" s="79" t="str">
        <f>"0.5 * (1 + " &amp; ROUND(E147, 2) &amp; " * (" &amp; ROUND(E146, 4) &amp; " - 0.2) + " &amp; ROUND(E146, 4) &amp; "²) = " &amp; ROUND(0.5*(1+E147*(E146-0.2)+E146^2), 4)</f>
        <v>0.5 * (1 + 0.34 * (0.5579 - 0.2) + 0.5579²) = 0.7165</v>
      </c>
      <c r="H148" s="80"/>
      <c r="I148" s="80"/>
      <c r="J148" s="81"/>
      <c r="K148" s="49"/>
    </row>
    <row r="149" spans="3:11" ht="16" x14ac:dyDescent="0.2">
      <c r="C149" s="77" t="s">
        <v>127</v>
      </c>
      <c r="D149" s="78"/>
      <c r="E149" s="50">
        <f>1/(E148+SQRT(E148^2-E146^2))</f>
        <v>0.8576342901578029</v>
      </c>
      <c r="F149" s="55"/>
      <c r="G149" s="79" t="str">
        <f>"1 / (" &amp; ROUND(E148, 4) &amp; " + √(" &amp; ROUND(E148, 4) &amp; "² - " &amp; ROUND(E146, 4) &amp; "²)) = " &amp; ROUND(1/(E148+SQRT(E148^2-E146^2)), 4)</f>
        <v>1 / (0.7165 + √(0.7165² - 0.5579²)) = 0.8576</v>
      </c>
      <c r="H149" s="80"/>
      <c r="I149" s="80"/>
      <c r="J149" s="81"/>
      <c r="K149" s="49"/>
    </row>
    <row r="150" spans="3:11" ht="16" x14ac:dyDescent="0.2">
      <c r="C150" s="69" t="s">
        <v>123</v>
      </c>
      <c r="D150" s="70"/>
      <c r="E150" s="50">
        <f>(E149*E134)/(E133*10^3)</f>
        <v>0.37572549854532317</v>
      </c>
      <c r="F150" s="5" t="s">
        <v>124</v>
      </c>
      <c r="G150" s="79" t="str">
        <f>ROUND(E149, 4) &amp; " * " &amp; ROUND(E134, 2) &amp; " N/mm² / (" &amp; ROUND(E133, 2) &amp; " * 10³) = " &amp; ROUND((E149*E134)/(E133*10^3), 4) &amp; " kN"</f>
        <v>0.8576 * 460 N/mm² / (1.05 * 10³) = 0.3757 kN</v>
      </c>
      <c r="H150" s="80"/>
      <c r="I150" s="80"/>
      <c r="J150" s="81"/>
      <c r="K150" s="58"/>
    </row>
    <row r="151" spans="3:11" ht="17" thickBot="1" x14ac:dyDescent="0.25">
      <c r="C151" s="77" t="s">
        <v>129</v>
      </c>
      <c r="D151" s="78"/>
      <c r="E151" s="64">
        <f>E150*H43</f>
        <v>10231.756776386241</v>
      </c>
      <c r="F151" s="47" t="s">
        <v>79</v>
      </c>
      <c r="G151" s="82" t="str">
        <f>ROUND(E150, 4) &amp; " kN/mm² * " &amp; ROUND(H43, 2) &amp; " mm² = " &amp; ROUND((E150*H43), 2) &amp; " kN"</f>
        <v>0.3757 kN/mm² * 27232 mm² = 10231.76 kN</v>
      </c>
      <c r="H151" s="83"/>
      <c r="I151" s="83"/>
      <c r="J151" s="84"/>
      <c r="K151" s="49"/>
    </row>
    <row r="152" spans="3:11" ht="16" customHeight="1" thickBot="1" x14ac:dyDescent="0.25">
      <c r="C152" s="108" t="s">
        <v>132</v>
      </c>
      <c r="D152" s="109"/>
      <c r="E152" s="109"/>
      <c r="F152" s="109"/>
      <c r="G152" s="109"/>
      <c r="H152" s="109"/>
      <c r="I152" s="109"/>
      <c r="J152" s="110"/>
      <c r="K152" s="49"/>
    </row>
    <row r="153" spans="3:11" ht="16" x14ac:dyDescent="0.2">
      <c r="C153" s="111" t="s">
        <v>118</v>
      </c>
      <c r="D153" s="112"/>
      <c r="E153" s="53">
        <f>E132/E137</f>
        <v>37.542209595182662</v>
      </c>
      <c r="F153" s="55"/>
      <c r="G153" s="85" t="str">
        <f>ROUND(E132, 2) &amp; " mm / " &amp; ROUND(E137, 2) &amp; " mm = " &amp; ROUND(E132/E137, 2)</f>
        <v>4500 mm / 119.87 mm = 37.54</v>
      </c>
      <c r="H153" s="86"/>
      <c r="I153" s="86"/>
      <c r="J153" s="87"/>
      <c r="K153" s="49"/>
    </row>
    <row r="154" spans="3:11" ht="16" x14ac:dyDescent="0.2">
      <c r="C154" s="77" t="s">
        <v>119</v>
      </c>
      <c r="D154" s="78"/>
      <c r="E154" s="52">
        <f>E153/E135</f>
        <v>0.55949641721583698</v>
      </c>
      <c r="F154" s="55"/>
      <c r="G154" s="79" t="str">
        <f>ROUND(E153, 2) &amp; " / " &amp; ROUND(E135, 2) &amp; " = " &amp; ROUND(E153/E135, 4)</f>
        <v>37.54 / 67.1 = 0.5595</v>
      </c>
      <c r="H154" s="80"/>
      <c r="I154" s="80"/>
      <c r="J154" s="81"/>
      <c r="K154" s="49"/>
    </row>
    <row r="155" spans="3:11" ht="16" x14ac:dyDescent="0.2">
      <c r="C155" s="77" t="s">
        <v>127</v>
      </c>
      <c r="D155" s="78"/>
      <c r="E155" s="46">
        <f>IF(E131="a",
    INDEX('Knickspannungskurve A'!B1:B351, MATCH(ROUND(E154, 2), 'Knickspannungskurve A'!A1:A351, 1)),
    IF(E131="b",
        INDEX('Knickspannungskurve B'!B1:B351, MATCH(ROUND(E154, 2), 'Knickspannungskurve B'!A1:A351, 1)),
        IF(E131="c",
            INDEX('Knickspannungskurve C'!B1:B351, MATCH(ROUND(E154, 2), 'Knickspannungskurve C'!A1:A351, 1)),
            "Fehler: Ungültige Eingabe in D126"
        )
    )
)</f>
        <v>0.85660000000000003</v>
      </c>
      <c r="F155" s="55"/>
      <c r="G155" s="71" t="str">
        <f>IF(E131="a", "Automatisch aus der Knickspannungswert A Tabelle!",
    IF(E131="b", "Automatisch aus der Knickspannungswert B Tabelle!",
    IF(E131="c", "Automatisch aus der Knickspannungswert C Tabelle!",
    IF(E131="d", "Automatisch aus der Knickspannungswert D Tabelle!", "Ungültige Auswahl"))))</f>
        <v>Automatisch aus der Knickspannungswert B Tabelle!</v>
      </c>
      <c r="H155" s="72"/>
      <c r="I155" s="72"/>
      <c r="J155" s="73"/>
      <c r="K155" s="58"/>
    </row>
    <row r="156" spans="3:11" ht="16" x14ac:dyDescent="0.2">
      <c r="C156" s="69" t="s">
        <v>123</v>
      </c>
      <c r="D156" s="70"/>
      <c r="E156" s="50">
        <f>(E155*E134)/(E133*10^3)</f>
        <v>0.37527238095238097</v>
      </c>
      <c r="F156" s="5" t="s">
        <v>124</v>
      </c>
      <c r="G156" s="79" t="str">
        <f>ROUND(E155, 4) &amp; " * " &amp; ROUND(E134, 2) &amp; " N/mm² / (" &amp; ROUND(E133, 2) &amp; " * 10³) = " &amp; ROUND((E155*E134)/(E133*10^3), 4) &amp; " kN"</f>
        <v>0.8566 * 460 N/mm² / (1.05 * 10³) = 0.3753 kN</v>
      </c>
      <c r="H156" s="80"/>
      <c r="I156" s="80"/>
      <c r="J156" s="81"/>
      <c r="K156" s="58"/>
    </row>
    <row r="157" spans="3:11" ht="17" thickBot="1" x14ac:dyDescent="0.25">
      <c r="C157" s="77" t="s">
        <v>122</v>
      </c>
      <c r="D157" s="78"/>
      <c r="E157" s="64">
        <f>E156*H43</f>
        <v>10219.417478095238</v>
      </c>
      <c r="F157" s="5" t="s">
        <v>79</v>
      </c>
      <c r="G157" s="82" t="str">
        <f>ROUND(E156, 4) &amp; " kN/mm² * " &amp; ROUND(H43, 2) &amp; " mm² = " &amp; ROUND((E156*H43), 2) &amp; " kN"</f>
        <v>0.3753 kN/mm² * 27232 mm² = 10219.42 kN</v>
      </c>
      <c r="H157" s="83"/>
      <c r="I157" s="83"/>
      <c r="J157" s="84"/>
      <c r="K157" s="48"/>
    </row>
    <row r="158" spans="3:11" ht="16" customHeight="1" thickBot="1" x14ac:dyDescent="0.25">
      <c r="C158" s="108" t="s">
        <v>133</v>
      </c>
      <c r="D158" s="109"/>
      <c r="E158" s="109"/>
      <c r="F158" s="109"/>
      <c r="G158" s="109"/>
      <c r="H158" s="109"/>
      <c r="I158" s="109"/>
      <c r="J158" s="110"/>
      <c r="K158" s="49"/>
    </row>
    <row r="159" spans="3:11" ht="16" x14ac:dyDescent="0.2">
      <c r="C159" s="111" t="s">
        <v>118</v>
      </c>
      <c r="D159" s="112"/>
      <c r="E159" s="53">
        <f>E132/E137</f>
        <v>37.542209595182662</v>
      </c>
      <c r="F159" s="65"/>
      <c r="G159" s="85" t="str">
        <f>ROUND(E132, 2) &amp; " mm / " &amp; ROUND(E137, 2) &amp; " mm = " &amp; ROUND(E132/E137, 2)</f>
        <v>4500 mm / 119.87 mm = 37.54</v>
      </c>
      <c r="H159" s="86"/>
      <c r="I159" s="86"/>
      <c r="J159" s="87"/>
      <c r="K159" s="49"/>
    </row>
    <row r="160" spans="3:11" ht="16" x14ac:dyDescent="0.2">
      <c r="C160" s="77" t="s">
        <v>119</v>
      </c>
      <c r="D160" s="78"/>
      <c r="E160" s="51">
        <f>E159/E135</f>
        <v>0.55949641721583698</v>
      </c>
      <c r="F160" s="55"/>
      <c r="G160" s="79" t="str">
        <f>ROUND(E159, 2) &amp; " / " &amp; ROUND(E135, 2) &amp; " = " &amp; ROUND(E159/E135, 4)</f>
        <v>37.54 / 67.1 = 0.5595</v>
      </c>
      <c r="H160" s="80"/>
      <c r="I160" s="80"/>
      <c r="J160" s="81"/>
      <c r="K160" s="49"/>
    </row>
    <row r="161" spans="3:11" ht="16" x14ac:dyDescent="0.2">
      <c r="C161" s="77" t="s">
        <v>128</v>
      </c>
      <c r="D161" s="78"/>
      <c r="E161" s="51">
        <f>VLOOKUP(Berechnungen!E131,'lmperfektionsbeiwert aK'!A2:B5,2,FALSE)</f>
        <v>0.34</v>
      </c>
      <c r="F161" s="55"/>
      <c r="G161" s="71" t="s">
        <v>110</v>
      </c>
      <c r="H161" s="72"/>
      <c r="I161" s="72"/>
      <c r="J161" s="73"/>
      <c r="K161" s="57"/>
    </row>
    <row r="162" spans="3:11" ht="16" x14ac:dyDescent="0.2">
      <c r="C162" s="77" t="s">
        <v>112</v>
      </c>
      <c r="D162" s="78"/>
      <c r="E162" s="50">
        <f>0.5*(1+E161*(E160-0.2)+E160^2)</f>
        <v>0.71763251136537121</v>
      </c>
      <c r="F162" s="55"/>
      <c r="G162" s="79" t="str">
        <f>"0.5 * (1 + " &amp; ROUND(E161, 2) &amp; " * (" &amp; ROUND(E160, 4) &amp; " - 0.2) + " &amp; ROUND(E160, 4) &amp; "²) = " &amp; ROUND(0.5*(1+E161*(E160-0.2)+E160^2), 4)</f>
        <v>0.5 * (1 + 0.34 * (0.5595 - 0.2) + 0.5595²) = 0.7176</v>
      </c>
      <c r="H162" s="80"/>
      <c r="I162" s="80"/>
      <c r="J162" s="81"/>
      <c r="K162" s="49"/>
    </row>
    <row r="163" spans="3:11" ht="16" x14ac:dyDescent="0.2">
      <c r="C163" s="77" t="s">
        <v>127</v>
      </c>
      <c r="D163" s="78"/>
      <c r="E163" s="50">
        <f>1/(E162+SQRT(E162^2-E160^2))</f>
        <v>0.85687430418322608</v>
      </c>
      <c r="F163" s="55"/>
      <c r="G163" s="79" t="str">
        <f>"1 / (" &amp; ROUND(E162, 4) &amp; " + √(" &amp; ROUND(E162, 4) &amp; "² - " &amp; ROUND(E160, 4) &amp; "²)) = " &amp; ROUND(1/(E162+SQRT(E162^2-E160^2)), 4)</f>
        <v>1 / (0.7176 + √(0.7176² - 0.5595²)) = 0.8569</v>
      </c>
      <c r="H163" s="80"/>
      <c r="I163" s="80"/>
      <c r="J163" s="81"/>
      <c r="K163" s="49"/>
    </row>
    <row r="164" spans="3:11" ht="16" x14ac:dyDescent="0.2">
      <c r="C164" s="69" t="s">
        <v>123</v>
      </c>
      <c r="D164" s="70"/>
      <c r="E164" s="50">
        <f>(E163*E134)/(E133*10^3)</f>
        <v>0.37539255230884189</v>
      </c>
      <c r="F164" s="5" t="s">
        <v>124</v>
      </c>
      <c r="G164" s="79" t="str">
        <f>ROUND(E163, 4) &amp; " * " &amp; ROUND(E134, 2) &amp; " N/mm² / (" &amp; ROUND(E133, 2) &amp; " * 10³) = " &amp; ROUND((E163*E134)/(E133*10^3), 4) &amp; " kN"</f>
        <v>0.8569 * 460 N/mm² / (1.05 * 10³) = 0.3754 kN</v>
      </c>
      <c r="H164" s="80"/>
      <c r="I164" s="80"/>
      <c r="J164" s="81"/>
      <c r="K164" s="58"/>
    </row>
    <row r="165" spans="3:11" ht="17" thickBot="1" x14ac:dyDescent="0.25">
      <c r="C165" s="106" t="s">
        <v>129</v>
      </c>
      <c r="D165" s="107"/>
      <c r="E165" s="66">
        <f>E164*H43</f>
        <v>10222.689984474382</v>
      </c>
      <c r="F165" s="47" t="s">
        <v>79</v>
      </c>
      <c r="G165" s="82" t="str">
        <f>ROUND(E164, 4) &amp; " kN/mm² * " &amp; ROUND(H43, 2) &amp; " mm² = " &amp; ROUND((E164*H43), 2) &amp; " kN"</f>
        <v>0.3754 kN/mm² * 27232 mm² = 10222.69 kN</v>
      </c>
      <c r="H165" s="83"/>
      <c r="I165" s="83"/>
      <c r="J165" s="84"/>
      <c r="K165" s="49"/>
    </row>
    <row r="178" spans="3:3" x14ac:dyDescent="0.2">
      <c r="C178" s="37"/>
    </row>
    <row r="184" spans="3:3" x14ac:dyDescent="0.2">
      <c r="C184" s="37"/>
    </row>
    <row r="190" spans="3:3" x14ac:dyDescent="0.2">
      <c r="C190" s="37"/>
    </row>
    <row r="191" spans="3:3" x14ac:dyDescent="0.2">
      <c r="C191" s="36"/>
    </row>
    <row r="193" spans="3:7" x14ac:dyDescent="0.2">
      <c r="C193" s="37"/>
    </row>
    <row r="196" spans="3:7" x14ac:dyDescent="0.2">
      <c r="C196" s="37"/>
    </row>
    <row r="201" spans="3:7" x14ac:dyDescent="0.2">
      <c r="G201" s="95"/>
    </row>
    <row r="202" spans="3:7" x14ac:dyDescent="0.2">
      <c r="G202" s="95"/>
    </row>
  </sheetData>
  <sheetProtection algorithmName="SHA-512" hashValue="172GEkwTNry3Mra+Jyu/q9aGcdM2LXbi2vzu2Y+AgVgpzau6PhT3DLRSaSafEZcvyW9yyfk+HgVAPigAmpfxRg==" saltValue="ddIk7I8lUJ9pjg5uAn15Mw==" spinCount="100000" sheet="1" objects="1" scenarios="1" selectLockedCells="1"/>
  <mergeCells count="237">
    <mergeCell ref="G164:J164"/>
    <mergeCell ref="G133:J133"/>
    <mergeCell ref="G131:J131"/>
    <mergeCell ref="G134:J134"/>
    <mergeCell ref="F43:G43"/>
    <mergeCell ref="H33:H34"/>
    <mergeCell ref="C89:C90"/>
    <mergeCell ref="D89:E90"/>
    <mergeCell ref="F89:G90"/>
    <mergeCell ref="H89:K90"/>
    <mergeCell ref="C88:K88"/>
    <mergeCell ref="F83:G83"/>
    <mergeCell ref="H83:K83"/>
    <mergeCell ref="F84:G84"/>
    <mergeCell ref="F85:G85"/>
    <mergeCell ref="F87:G87"/>
    <mergeCell ref="F86:G86"/>
    <mergeCell ref="H84:K84"/>
    <mergeCell ref="H85:K85"/>
    <mergeCell ref="H86:K86"/>
    <mergeCell ref="H87:K87"/>
    <mergeCell ref="G33:G34"/>
    <mergeCell ref="H79:K79"/>
    <mergeCell ref="H80:K80"/>
    <mergeCell ref="H81:K81"/>
    <mergeCell ref="H82:K82"/>
    <mergeCell ref="C76:K76"/>
    <mergeCell ref="B75:K75"/>
    <mergeCell ref="F33:F34"/>
    <mergeCell ref="E33:E34"/>
    <mergeCell ref="F77:G78"/>
    <mergeCell ref="F79:G79"/>
    <mergeCell ref="F80:G80"/>
    <mergeCell ref="F81:G81"/>
    <mergeCell ref="F82:G82"/>
    <mergeCell ref="H77:K78"/>
    <mergeCell ref="C33:C34"/>
    <mergeCell ref="D77:E78"/>
    <mergeCell ref="C77:C78"/>
    <mergeCell ref="D33:D34"/>
    <mergeCell ref="C47:C48"/>
    <mergeCell ref="D47:E48"/>
    <mergeCell ref="F47:K48"/>
    <mergeCell ref="D49:E49"/>
    <mergeCell ref="F49:K49"/>
    <mergeCell ref="D50:E50"/>
    <mergeCell ref="D51:E51"/>
    <mergeCell ref="F50:K50"/>
    <mergeCell ref="F51:K51"/>
    <mergeCell ref="F52:K52"/>
    <mergeCell ref="F53:K53"/>
    <mergeCell ref="F54:K54"/>
    <mergeCell ref="D57:E57"/>
    <mergeCell ref="C108:C109"/>
    <mergeCell ref="D108:E109"/>
    <mergeCell ref="F108:G109"/>
    <mergeCell ref="H108:H109"/>
    <mergeCell ref="I108:I109"/>
    <mergeCell ref="B101:K101"/>
    <mergeCell ref="C107:K107"/>
    <mergeCell ref="C102:K102"/>
    <mergeCell ref="H97:K97"/>
    <mergeCell ref="H98:K98"/>
    <mergeCell ref="D97:E97"/>
    <mergeCell ref="D98:E98"/>
    <mergeCell ref="F97:G97"/>
    <mergeCell ref="F98:G98"/>
    <mergeCell ref="H99:K99"/>
    <mergeCell ref="F99:G99"/>
    <mergeCell ref="C103:C104"/>
    <mergeCell ref="D61:E62"/>
    <mergeCell ref="J110:K110"/>
    <mergeCell ref="J111:K111"/>
    <mergeCell ref="J105:K105"/>
    <mergeCell ref="J106:K106"/>
    <mergeCell ref="J108:K109"/>
    <mergeCell ref="J103:K104"/>
    <mergeCell ref="D110:E110"/>
    <mergeCell ref="D111:E111"/>
    <mergeCell ref="D105:E105"/>
    <mergeCell ref="D106:E106"/>
    <mergeCell ref="F110:G110"/>
    <mergeCell ref="F111:G111"/>
    <mergeCell ref="F105:G105"/>
    <mergeCell ref="F106:G106"/>
    <mergeCell ref="D103:E104"/>
    <mergeCell ref="F103:G104"/>
    <mergeCell ref="H103:H104"/>
    <mergeCell ref="I103:I104"/>
    <mergeCell ref="D85:E85"/>
    <mergeCell ref="D91:E91"/>
    <mergeCell ref="D92:E92"/>
    <mergeCell ref="D93:E93"/>
    <mergeCell ref="D94:E94"/>
    <mergeCell ref="D95:E95"/>
    <mergeCell ref="D96:E96"/>
    <mergeCell ref="F96:G96"/>
    <mergeCell ref="H91:K91"/>
    <mergeCell ref="H92:K92"/>
    <mergeCell ref="H93:K93"/>
    <mergeCell ref="H94:K94"/>
    <mergeCell ref="H95:K95"/>
    <mergeCell ref="H96:K96"/>
    <mergeCell ref="F91:G91"/>
    <mergeCell ref="F92:G92"/>
    <mergeCell ref="F93:G93"/>
    <mergeCell ref="F94:G94"/>
    <mergeCell ref="F95:G95"/>
    <mergeCell ref="D52:E52"/>
    <mergeCell ref="D53:E53"/>
    <mergeCell ref="D84:E84"/>
    <mergeCell ref="D86:E86"/>
    <mergeCell ref="F61:K62"/>
    <mergeCell ref="D63:E63"/>
    <mergeCell ref="F63:K63"/>
    <mergeCell ref="F58:K58"/>
    <mergeCell ref="F59:K59"/>
    <mergeCell ref="D59:E59"/>
    <mergeCell ref="D58:E58"/>
    <mergeCell ref="D79:E79"/>
    <mergeCell ref="D80:E80"/>
    <mergeCell ref="D81:E81"/>
    <mergeCell ref="D82:E82"/>
    <mergeCell ref="D83:E83"/>
    <mergeCell ref="D54:E54"/>
    <mergeCell ref="D55:E55"/>
    <mergeCell ref="D56:E56"/>
    <mergeCell ref="D73:E73"/>
    <mergeCell ref="F73:K73"/>
    <mergeCell ref="C60:K60"/>
    <mergeCell ref="F55:K55"/>
    <mergeCell ref="F56:K56"/>
    <mergeCell ref="C114:K114"/>
    <mergeCell ref="F116:G117"/>
    <mergeCell ref="C116:E117"/>
    <mergeCell ref="H116:K117"/>
    <mergeCell ref="C46:K46"/>
    <mergeCell ref="B113:K113"/>
    <mergeCell ref="D70:E70"/>
    <mergeCell ref="F70:K70"/>
    <mergeCell ref="D71:E71"/>
    <mergeCell ref="D72:E72"/>
    <mergeCell ref="F72:K72"/>
    <mergeCell ref="D67:E67"/>
    <mergeCell ref="F67:K67"/>
    <mergeCell ref="D68:E68"/>
    <mergeCell ref="F68:K68"/>
    <mergeCell ref="D69:E69"/>
    <mergeCell ref="F69:K69"/>
    <mergeCell ref="D64:E64"/>
    <mergeCell ref="F64:K64"/>
    <mergeCell ref="D65:E65"/>
    <mergeCell ref="F65:K65"/>
    <mergeCell ref="D66:E66"/>
    <mergeCell ref="F66:K66"/>
    <mergeCell ref="C61:C62"/>
    <mergeCell ref="C120:K120"/>
    <mergeCell ref="F122:G123"/>
    <mergeCell ref="C122:E123"/>
    <mergeCell ref="H122:K123"/>
    <mergeCell ref="F118:G118"/>
    <mergeCell ref="F119:G119"/>
    <mergeCell ref="C118:E118"/>
    <mergeCell ref="C119:E119"/>
    <mergeCell ref="H118:K118"/>
    <mergeCell ref="H119:K119"/>
    <mergeCell ref="C161:D161"/>
    <mergeCell ref="G151:J151"/>
    <mergeCell ref="C148:D148"/>
    <mergeCell ref="C151:D151"/>
    <mergeCell ref="C153:D153"/>
    <mergeCell ref="H124:K124"/>
    <mergeCell ref="H125:K125"/>
    <mergeCell ref="C140:D140"/>
    <mergeCell ref="C141:D141"/>
    <mergeCell ref="C143:D143"/>
    <mergeCell ref="C145:D145"/>
    <mergeCell ref="C146:D146"/>
    <mergeCell ref="C147:D147"/>
    <mergeCell ref="C149:D149"/>
    <mergeCell ref="C137:D137"/>
    <mergeCell ref="C132:D132"/>
    <mergeCell ref="C131:D131"/>
    <mergeCell ref="C130:D130"/>
    <mergeCell ref="C139:D139"/>
    <mergeCell ref="C133:D133"/>
    <mergeCell ref="G142:J142"/>
    <mergeCell ref="G150:J150"/>
    <mergeCell ref="G156:J156"/>
    <mergeCell ref="B127:J127"/>
    <mergeCell ref="G135:J135"/>
    <mergeCell ref="G141:J141"/>
    <mergeCell ref="G147:J147"/>
    <mergeCell ref="G155:J155"/>
    <mergeCell ref="G201:G202"/>
    <mergeCell ref="F124:G124"/>
    <mergeCell ref="F125:G125"/>
    <mergeCell ref="C124:E124"/>
    <mergeCell ref="C125:E125"/>
    <mergeCell ref="C163:D163"/>
    <mergeCell ref="G163:J163"/>
    <mergeCell ref="C165:D165"/>
    <mergeCell ref="G165:J165"/>
    <mergeCell ref="C138:J138"/>
    <mergeCell ref="C144:J144"/>
    <mergeCell ref="C152:J152"/>
    <mergeCell ref="C158:J158"/>
    <mergeCell ref="C157:D157"/>
    <mergeCell ref="G157:J157"/>
    <mergeCell ref="C159:D159"/>
    <mergeCell ref="G159:J159"/>
    <mergeCell ref="C160:D160"/>
    <mergeCell ref="G160:J160"/>
    <mergeCell ref="G161:J161"/>
    <mergeCell ref="B45:K45"/>
    <mergeCell ref="C162:D162"/>
    <mergeCell ref="G162:J162"/>
    <mergeCell ref="G136:J136"/>
    <mergeCell ref="G137:J137"/>
    <mergeCell ref="G140:J140"/>
    <mergeCell ref="G143:J143"/>
    <mergeCell ref="G145:J145"/>
    <mergeCell ref="G146:J146"/>
    <mergeCell ref="G148:J148"/>
    <mergeCell ref="G149:J149"/>
    <mergeCell ref="C134:D134"/>
    <mergeCell ref="C135:D135"/>
    <mergeCell ref="C128:D129"/>
    <mergeCell ref="E128:E129"/>
    <mergeCell ref="F128:F129"/>
    <mergeCell ref="C136:D136"/>
    <mergeCell ref="G153:J153"/>
    <mergeCell ref="C154:D154"/>
    <mergeCell ref="G154:J154"/>
    <mergeCell ref="C155:D155"/>
    <mergeCell ref="G139:J139"/>
    <mergeCell ref="G128:J129"/>
  </mergeCells>
  <phoneticPr fontId="4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7362F-FB09-C448-9897-247852F5DBFA}">
          <x14:formula1>
            <xm:f>Fliesschlankheit!$A$2:$A$5</xm:f>
          </x14:formula1>
          <xm:sqref>E130</xm:sqref>
        </x14:dataValidation>
        <x14:dataValidation type="list" allowBlank="1" showInputMessage="1" showErrorMessage="1" xr:uid="{F9C8D06C-7B7A-B644-9AE7-2F1238A7129E}">
          <x14:formula1>
            <xm:f>'lmperfektionsbeiwert aK'!$A$2:$A$5</xm:f>
          </x14:formula1>
          <xm:sqref>E131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98-4C21-D94B-BA2A-5D26F2A931C5}">
  <sheetPr codeName="Tabelle2"/>
  <dimension ref="A1:B5"/>
  <sheetViews>
    <sheetView workbookViewId="0">
      <selection activeCell="A10" sqref="A10"/>
    </sheetView>
  </sheetViews>
  <sheetFormatPr baseColWidth="10" defaultRowHeight="15" x14ac:dyDescent="0.2"/>
  <cols>
    <col min="1" max="1" width="17.83203125" bestFit="1" customWidth="1"/>
    <col min="2" max="2" width="20.5" bestFit="1" customWidth="1"/>
  </cols>
  <sheetData>
    <row r="1" spans="1:2" x14ac:dyDescent="0.2">
      <c r="A1" s="35" t="s">
        <v>98</v>
      </c>
      <c r="B1" s="35" t="s">
        <v>104</v>
      </c>
    </row>
    <row r="2" spans="1:2" x14ac:dyDescent="0.2">
      <c r="A2" t="s">
        <v>114</v>
      </c>
      <c r="B2">
        <v>0.21</v>
      </c>
    </row>
    <row r="3" spans="1:2" x14ac:dyDescent="0.2">
      <c r="A3" t="s">
        <v>115</v>
      </c>
      <c r="B3">
        <v>0.34</v>
      </c>
    </row>
    <row r="4" spans="1:2" x14ac:dyDescent="0.2">
      <c r="A4" t="s">
        <v>116</v>
      </c>
      <c r="B4">
        <v>0.49</v>
      </c>
    </row>
    <row r="5" spans="1:2" x14ac:dyDescent="0.2">
      <c r="A5" t="s">
        <v>117</v>
      </c>
      <c r="B5">
        <v>0.76</v>
      </c>
    </row>
  </sheetData>
  <sheetProtection algorithmName="SHA-512" hashValue="kU8ZrakbCoEY9OQRf2D2EoFSnYH7HNiC/D8T2hhYYoa7fbzaVr0tqMp78NDTsepQLMGs9JtXcr3kEmewv8PVMg==" saltValue="BzZCNSp3ridKD/uZQGZvP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8CCE1-0BCB-DE46-B661-AB1EF6315403}">
  <sheetPr codeName="Tabelle3"/>
  <dimension ref="A1:B351"/>
  <sheetViews>
    <sheetView topLeftCell="A297" workbookViewId="0">
      <selection activeCell="G306" sqref="G306"/>
    </sheetView>
  </sheetViews>
  <sheetFormatPr baseColWidth="10" defaultRowHeight="15" x14ac:dyDescent="0.2"/>
  <cols>
    <col min="1" max="1" width="11" style="39" bestFit="1" customWidth="1"/>
    <col min="2" max="2" width="10.83203125" style="39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0.99780000000000002</v>
      </c>
    </row>
    <row r="24" spans="1:2" x14ac:dyDescent="0.2">
      <c r="A24" s="39">
        <v>0.22</v>
      </c>
      <c r="B24" s="39">
        <v>0.99560000000000004</v>
      </c>
    </row>
    <row r="25" spans="1:2" x14ac:dyDescent="0.2">
      <c r="A25" s="39">
        <v>0.23</v>
      </c>
      <c r="B25" s="39">
        <v>0.99339999999999995</v>
      </c>
    </row>
    <row r="26" spans="1:2" x14ac:dyDescent="0.2">
      <c r="A26" s="39">
        <v>0.24</v>
      </c>
      <c r="B26" s="39">
        <v>0.99119999999999997</v>
      </c>
    </row>
    <row r="27" spans="1:2" x14ac:dyDescent="0.2">
      <c r="A27" s="39">
        <v>0.25</v>
      </c>
      <c r="B27" s="39">
        <v>0.9889</v>
      </c>
    </row>
    <row r="28" spans="1:2" x14ac:dyDescent="0.2">
      <c r="A28" s="39">
        <v>0.26</v>
      </c>
      <c r="B28" s="39">
        <v>0.98670000000000002</v>
      </c>
    </row>
    <row r="29" spans="1:2" x14ac:dyDescent="0.2">
      <c r="A29" s="39">
        <v>0.27</v>
      </c>
      <c r="B29" s="39">
        <v>0.98440000000000005</v>
      </c>
    </row>
    <row r="30" spans="1:2" x14ac:dyDescent="0.2">
      <c r="A30" s="39">
        <v>0.28000000000000003</v>
      </c>
      <c r="B30" s="39">
        <v>0.98209999999999997</v>
      </c>
    </row>
    <row r="31" spans="1:2" x14ac:dyDescent="0.2">
      <c r="A31" s="39">
        <v>0.28999999999999998</v>
      </c>
      <c r="B31" s="39">
        <v>0.9798</v>
      </c>
    </row>
    <row r="32" spans="1:2" x14ac:dyDescent="0.2">
      <c r="A32" s="39">
        <v>0.3</v>
      </c>
      <c r="B32" s="39">
        <v>0.97750000000000004</v>
      </c>
    </row>
    <row r="33" spans="1:2" x14ac:dyDescent="0.2">
      <c r="A33" s="39">
        <v>0.31</v>
      </c>
      <c r="B33" s="39">
        <v>0.97509999999999997</v>
      </c>
    </row>
    <row r="34" spans="1:2" x14ac:dyDescent="0.2">
      <c r="A34" s="39">
        <v>0.32</v>
      </c>
      <c r="B34" s="39">
        <v>0.9728</v>
      </c>
    </row>
    <row r="35" spans="1:2" x14ac:dyDescent="0.2">
      <c r="A35" s="39">
        <v>0.33</v>
      </c>
      <c r="B35" s="39">
        <v>0.97040000000000004</v>
      </c>
    </row>
    <row r="36" spans="1:2" x14ac:dyDescent="0.2">
      <c r="A36" s="39">
        <v>0.34</v>
      </c>
      <c r="B36" s="39">
        <v>0.96799999999999997</v>
      </c>
    </row>
    <row r="37" spans="1:2" x14ac:dyDescent="0.2">
      <c r="A37" s="39">
        <v>0.35</v>
      </c>
      <c r="B37" s="39">
        <v>0.96550000000000002</v>
      </c>
    </row>
    <row r="38" spans="1:2" x14ac:dyDescent="0.2">
      <c r="A38" s="39">
        <v>0.36</v>
      </c>
      <c r="B38" s="39">
        <v>0.96299999999999997</v>
      </c>
    </row>
    <row r="39" spans="1:2" x14ac:dyDescent="0.2">
      <c r="A39" s="39">
        <v>0.37</v>
      </c>
      <c r="B39" s="39">
        <v>0.96050000000000002</v>
      </c>
    </row>
    <row r="40" spans="1:2" x14ac:dyDescent="0.2">
      <c r="A40" s="39">
        <v>0.38</v>
      </c>
      <c r="B40" s="39">
        <v>0.95799999999999996</v>
      </c>
    </row>
    <row r="41" spans="1:2" x14ac:dyDescent="0.2">
      <c r="A41" s="39">
        <v>0.39</v>
      </c>
      <c r="B41" s="39">
        <v>0.95540000000000003</v>
      </c>
    </row>
    <row r="42" spans="1:2" x14ac:dyDescent="0.2">
      <c r="A42" s="39">
        <v>0.4</v>
      </c>
      <c r="B42" s="39">
        <v>0.95279999999999998</v>
      </c>
    </row>
    <row r="43" spans="1:2" x14ac:dyDescent="0.2">
      <c r="A43" s="39">
        <v>0.41</v>
      </c>
      <c r="B43" s="39">
        <v>0.95009999999999994</v>
      </c>
    </row>
    <row r="44" spans="1:2" x14ac:dyDescent="0.2">
      <c r="A44" s="39">
        <v>0.42</v>
      </c>
      <c r="B44" s="39">
        <v>0.94740000000000002</v>
      </c>
    </row>
    <row r="45" spans="1:2" x14ac:dyDescent="0.2">
      <c r="A45" s="39">
        <v>0.43</v>
      </c>
      <c r="B45" s="39">
        <v>0.94469999999999998</v>
      </c>
    </row>
    <row r="46" spans="1:2" x14ac:dyDescent="0.2">
      <c r="A46" s="39">
        <v>0.44</v>
      </c>
      <c r="B46" s="39">
        <v>0.94189999999999996</v>
      </c>
    </row>
    <row r="47" spans="1:2" x14ac:dyDescent="0.2">
      <c r="A47" s="39">
        <v>0.45</v>
      </c>
      <c r="B47" s="39">
        <v>0.93910000000000005</v>
      </c>
    </row>
    <row r="48" spans="1:2" x14ac:dyDescent="0.2">
      <c r="A48" s="39">
        <v>0.46</v>
      </c>
      <c r="B48" s="39">
        <v>0.93630000000000002</v>
      </c>
    </row>
    <row r="49" spans="1:2" x14ac:dyDescent="0.2">
      <c r="A49" s="39">
        <v>0.47</v>
      </c>
      <c r="B49" s="39">
        <v>0.93330000000000002</v>
      </c>
    </row>
    <row r="50" spans="1:2" x14ac:dyDescent="0.2">
      <c r="A50" s="39">
        <v>0.48</v>
      </c>
      <c r="B50" s="39">
        <v>0.9304</v>
      </c>
    </row>
    <row r="51" spans="1:2" x14ac:dyDescent="0.2">
      <c r="A51" s="39">
        <v>0.49</v>
      </c>
      <c r="B51" s="39">
        <v>0.92730000000000001</v>
      </c>
    </row>
    <row r="52" spans="1:2" x14ac:dyDescent="0.2">
      <c r="A52" s="39">
        <v>0.5</v>
      </c>
      <c r="B52" s="39">
        <v>0.92430000000000001</v>
      </c>
    </row>
    <row r="53" spans="1:2" x14ac:dyDescent="0.2">
      <c r="A53" s="39">
        <v>0.51</v>
      </c>
      <c r="B53" s="39">
        <v>0.92110000000000003</v>
      </c>
    </row>
    <row r="54" spans="1:2" x14ac:dyDescent="0.2">
      <c r="A54" s="39">
        <v>0.52</v>
      </c>
      <c r="B54" s="39">
        <v>0.91790000000000005</v>
      </c>
    </row>
    <row r="55" spans="1:2" x14ac:dyDescent="0.2">
      <c r="A55" s="39">
        <v>0.53</v>
      </c>
      <c r="B55" s="39">
        <v>0.91469999999999996</v>
      </c>
    </row>
    <row r="56" spans="1:2" x14ac:dyDescent="0.2">
      <c r="A56" s="39">
        <v>0.54</v>
      </c>
      <c r="B56" s="39">
        <v>0.91139999999999999</v>
      </c>
    </row>
    <row r="57" spans="1:2" x14ac:dyDescent="0.2">
      <c r="A57" s="39">
        <v>0.55000000000000004</v>
      </c>
      <c r="B57" s="39">
        <v>0.90800000000000003</v>
      </c>
    </row>
    <row r="58" spans="1:2" x14ac:dyDescent="0.2">
      <c r="A58" s="39">
        <v>0.56000000000000005</v>
      </c>
      <c r="B58" s="39">
        <v>0.90449999999999997</v>
      </c>
    </row>
    <row r="59" spans="1:2" x14ac:dyDescent="0.2">
      <c r="A59" s="39">
        <v>0.56999999999999995</v>
      </c>
      <c r="B59" s="39">
        <v>0.90100000000000002</v>
      </c>
    </row>
    <row r="60" spans="1:2" x14ac:dyDescent="0.2">
      <c r="A60" s="39">
        <v>0.57999999999999996</v>
      </c>
      <c r="B60" s="39">
        <v>0.89739999999999998</v>
      </c>
    </row>
    <row r="61" spans="1:2" x14ac:dyDescent="0.2">
      <c r="A61" s="39">
        <v>0.59</v>
      </c>
      <c r="B61" s="39">
        <v>0.89370000000000005</v>
      </c>
    </row>
    <row r="62" spans="1:2" x14ac:dyDescent="0.2">
      <c r="A62" s="39">
        <v>0.6</v>
      </c>
      <c r="B62" s="39">
        <v>0.89</v>
      </c>
    </row>
    <row r="63" spans="1:2" x14ac:dyDescent="0.2">
      <c r="A63" s="39">
        <v>0.61</v>
      </c>
      <c r="B63" s="39">
        <v>0.88619999999999999</v>
      </c>
    </row>
    <row r="64" spans="1:2" x14ac:dyDescent="0.2">
      <c r="A64" s="39">
        <v>0.62</v>
      </c>
      <c r="B64" s="39">
        <v>0.88229999999999997</v>
      </c>
    </row>
    <row r="65" spans="1:2" x14ac:dyDescent="0.2">
      <c r="A65" s="39">
        <v>0.63</v>
      </c>
      <c r="B65" s="39">
        <v>0.87829999999999997</v>
      </c>
    </row>
    <row r="66" spans="1:2" x14ac:dyDescent="0.2">
      <c r="A66" s="39">
        <v>0.64</v>
      </c>
      <c r="B66" s="39">
        <v>0.87419999999999998</v>
      </c>
    </row>
    <row r="67" spans="1:2" x14ac:dyDescent="0.2">
      <c r="A67" s="39">
        <v>0.65</v>
      </c>
      <c r="B67" s="39">
        <v>0.87</v>
      </c>
    </row>
    <row r="68" spans="1:2" x14ac:dyDescent="0.2">
      <c r="A68" s="39">
        <v>0.66</v>
      </c>
      <c r="B68" s="39">
        <v>0.86570000000000003</v>
      </c>
    </row>
    <row r="69" spans="1:2" x14ac:dyDescent="0.2">
      <c r="A69" s="39">
        <v>0.67</v>
      </c>
      <c r="B69" s="39">
        <v>0.86140000000000005</v>
      </c>
    </row>
    <row r="70" spans="1:2" x14ac:dyDescent="0.2">
      <c r="A70" s="39">
        <v>0.68</v>
      </c>
      <c r="B70" s="39">
        <v>0.8569</v>
      </c>
    </row>
    <row r="71" spans="1:2" x14ac:dyDescent="0.2">
      <c r="A71" s="39">
        <v>0.69</v>
      </c>
      <c r="B71" s="39">
        <v>0.85240000000000005</v>
      </c>
    </row>
    <row r="72" spans="1:2" x14ac:dyDescent="0.2">
      <c r="A72" s="39">
        <v>0.7</v>
      </c>
      <c r="B72" s="39">
        <v>0.84770000000000001</v>
      </c>
    </row>
    <row r="73" spans="1:2" x14ac:dyDescent="0.2">
      <c r="A73" s="39">
        <v>0.71</v>
      </c>
      <c r="B73" s="39">
        <v>0.84299999999999997</v>
      </c>
    </row>
    <row r="74" spans="1:2" x14ac:dyDescent="0.2">
      <c r="A74" s="39">
        <v>0.72</v>
      </c>
      <c r="B74" s="39">
        <v>0.83819999999999995</v>
      </c>
    </row>
    <row r="75" spans="1:2" x14ac:dyDescent="0.2">
      <c r="A75" s="39">
        <v>0.73</v>
      </c>
      <c r="B75" s="39">
        <v>0.83320000000000005</v>
      </c>
    </row>
    <row r="76" spans="1:2" x14ac:dyDescent="0.2">
      <c r="A76" s="39">
        <v>0.74</v>
      </c>
      <c r="B76" s="39">
        <v>0.82820000000000005</v>
      </c>
    </row>
    <row r="77" spans="1:2" x14ac:dyDescent="0.2">
      <c r="A77" s="39">
        <v>0.75</v>
      </c>
      <c r="B77" s="39">
        <v>0.82299999999999995</v>
      </c>
    </row>
    <row r="78" spans="1:2" x14ac:dyDescent="0.2">
      <c r="A78" s="39">
        <v>0.76</v>
      </c>
      <c r="B78" s="39">
        <v>0.81779999999999997</v>
      </c>
    </row>
    <row r="79" spans="1:2" x14ac:dyDescent="0.2">
      <c r="A79" s="39">
        <v>0.77</v>
      </c>
      <c r="B79" s="39">
        <v>0.81240000000000001</v>
      </c>
    </row>
    <row r="80" spans="1:2" x14ac:dyDescent="0.2">
      <c r="A80" s="39">
        <v>0.78</v>
      </c>
      <c r="B80" s="39">
        <v>0.80689999999999995</v>
      </c>
    </row>
    <row r="81" spans="1:2" x14ac:dyDescent="0.2">
      <c r="A81" s="39">
        <v>0.79</v>
      </c>
      <c r="B81" s="39">
        <v>0.8014</v>
      </c>
    </row>
    <row r="82" spans="1:2" x14ac:dyDescent="0.2">
      <c r="A82" s="39">
        <v>0.8</v>
      </c>
      <c r="B82" s="39">
        <v>0.79569999999999996</v>
      </c>
    </row>
    <row r="83" spans="1:2" x14ac:dyDescent="0.2">
      <c r="A83" s="39">
        <v>0.81</v>
      </c>
      <c r="B83" s="39">
        <v>0.78990000000000005</v>
      </c>
    </row>
    <row r="84" spans="1:2" x14ac:dyDescent="0.2">
      <c r="A84" s="39">
        <v>0.82</v>
      </c>
      <c r="B84" s="39">
        <v>0.78410000000000002</v>
      </c>
    </row>
    <row r="85" spans="1:2" x14ac:dyDescent="0.2">
      <c r="A85" s="39">
        <v>0.83</v>
      </c>
      <c r="B85" s="39">
        <v>0.77810000000000001</v>
      </c>
    </row>
    <row r="86" spans="1:2" x14ac:dyDescent="0.2">
      <c r="A86" s="39">
        <v>0.84</v>
      </c>
      <c r="B86" s="39">
        <v>0.77210000000000001</v>
      </c>
    </row>
    <row r="87" spans="1:2" x14ac:dyDescent="0.2">
      <c r="A87" s="39">
        <v>0.85</v>
      </c>
      <c r="B87" s="39">
        <v>0.76590000000000003</v>
      </c>
    </row>
    <row r="88" spans="1:2" x14ac:dyDescent="0.2">
      <c r="A88" s="39">
        <v>0.86</v>
      </c>
      <c r="B88" s="39">
        <v>0.75970000000000004</v>
      </c>
    </row>
    <row r="89" spans="1:2" x14ac:dyDescent="0.2">
      <c r="A89" s="39">
        <v>0.87</v>
      </c>
      <c r="B89" s="39">
        <v>0.75339999999999996</v>
      </c>
    </row>
    <row r="90" spans="1:2" x14ac:dyDescent="0.2">
      <c r="A90" s="39">
        <v>0.88</v>
      </c>
      <c r="B90" s="39">
        <v>0.747</v>
      </c>
    </row>
    <row r="91" spans="1:2" x14ac:dyDescent="0.2">
      <c r="A91" s="39">
        <v>0.89</v>
      </c>
      <c r="B91" s="39">
        <v>0.74050000000000005</v>
      </c>
    </row>
    <row r="92" spans="1:2" x14ac:dyDescent="0.2">
      <c r="A92" s="39">
        <v>0.9</v>
      </c>
      <c r="B92" s="39">
        <v>0.7339</v>
      </c>
    </row>
    <row r="93" spans="1:2" x14ac:dyDescent="0.2">
      <c r="A93" s="39">
        <v>0.91</v>
      </c>
      <c r="B93" s="39">
        <v>0.72729999999999995</v>
      </c>
    </row>
    <row r="94" spans="1:2" x14ac:dyDescent="0.2">
      <c r="A94" s="39">
        <v>0.92</v>
      </c>
      <c r="B94" s="39">
        <v>0.72060000000000002</v>
      </c>
    </row>
    <row r="95" spans="1:2" x14ac:dyDescent="0.2">
      <c r="A95" s="39">
        <v>0.93</v>
      </c>
      <c r="B95" s="39">
        <v>0.71389999999999998</v>
      </c>
    </row>
    <row r="96" spans="1:2" x14ac:dyDescent="0.2">
      <c r="A96" s="39">
        <v>0.94</v>
      </c>
      <c r="B96" s="39">
        <v>0.70709999999999995</v>
      </c>
    </row>
    <row r="97" spans="1:2" x14ac:dyDescent="0.2">
      <c r="A97" s="39">
        <v>0.95</v>
      </c>
      <c r="B97" s="39">
        <v>0.70030000000000003</v>
      </c>
    </row>
    <row r="98" spans="1:2" x14ac:dyDescent="0.2">
      <c r="A98" s="39">
        <v>0.96</v>
      </c>
      <c r="B98" s="39">
        <v>0.69340000000000002</v>
      </c>
    </row>
    <row r="99" spans="1:2" x14ac:dyDescent="0.2">
      <c r="A99" s="39">
        <v>0.97</v>
      </c>
      <c r="B99" s="39">
        <v>0.6865</v>
      </c>
    </row>
    <row r="100" spans="1:2" x14ac:dyDescent="0.2">
      <c r="A100" s="39">
        <v>0.98</v>
      </c>
      <c r="B100" s="39">
        <v>0.67959999999999998</v>
      </c>
    </row>
    <row r="101" spans="1:2" x14ac:dyDescent="0.2">
      <c r="A101" s="39">
        <v>0.99</v>
      </c>
      <c r="B101" s="39">
        <v>0.67259999999999998</v>
      </c>
    </row>
    <row r="102" spans="1:2" x14ac:dyDescent="0.2">
      <c r="A102" s="39">
        <v>1</v>
      </c>
      <c r="B102" s="39">
        <v>0.66559999999999997</v>
      </c>
    </row>
    <row r="103" spans="1:2" x14ac:dyDescent="0.2">
      <c r="A103" s="39">
        <v>1.01</v>
      </c>
      <c r="B103" s="39">
        <v>0.65859999999999996</v>
      </c>
    </row>
    <row r="104" spans="1:2" x14ac:dyDescent="0.2">
      <c r="A104" s="39">
        <v>1.02</v>
      </c>
      <c r="B104" s="39">
        <v>0.65159999999999996</v>
      </c>
    </row>
    <row r="105" spans="1:2" x14ac:dyDescent="0.2">
      <c r="A105" s="39">
        <v>1.03</v>
      </c>
      <c r="B105" s="39">
        <v>0.64459999999999995</v>
      </c>
    </row>
    <row r="106" spans="1:2" x14ac:dyDescent="0.2">
      <c r="A106" s="39">
        <v>1.04</v>
      </c>
      <c r="B106" s="39">
        <v>0.63759999999999994</v>
      </c>
    </row>
    <row r="107" spans="1:2" x14ac:dyDescent="0.2">
      <c r="A107" s="39">
        <v>1.05</v>
      </c>
      <c r="B107" s="39">
        <v>0.63060000000000005</v>
      </c>
    </row>
    <row r="108" spans="1:2" x14ac:dyDescent="0.2">
      <c r="A108" s="39">
        <v>1.06</v>
      </c>
      <c r="B108" s="39">
        <v>0.62360000000000004</v>
      </c>
    </row>
    <row r="109" spans="1:2" x14ac:dyDescent="0.2">
      <c r="A109" s="39">
        <v>1.07</v>
      </c>
      <c r="B109" s="39">
        <v>0.61670000000000003</v>
      </c>
    </row>
    <row r="110" spans="1:2" x14ac:dyDescent="0.2">
      <c r="A110" s="39">
        <v>1.08</v>
      </c>
      <c r="B110" s="39">
        <v>0.60980000000000001</v>
      </c>
    </row>
    <row r="111" spans="1:2" x14ac:dyDescent="0.2">
      <c r="A111" s="39">
        <v>1.0900000000000001</v>
      </c>
      <c r="B111" s="39">
        <v>0.60289999999999999</v>
      </c>
    </row>
    <row r="112" spans="1:2" x14ac:dyDescent="0.2">
      <c r="A112" s="39">
        <v>1.1000000000000001</v>
      </c>
      <c r="B112" s="39">
        <v>0.59599999999999997</v>
      </c>
    </row>
    <row r="113" spans="1:2" x14ac:dyDescent="0.2">
      <c r="A113" s="39">
        <v>1.1100000000000001</v>
      </c>
      <c r="B113" s="39">
        <v>0.58919999999999995</v>
      </c>
    </row>
    <row r="114" spans="1:2" x14ac:dyDescent="0.2">
      <c r="A114" s="39">
        <v>1.1200000000000001</v>
      </c>
      <c r="B114" s="39">
        <v>0.58240000000000003</v>
      </c>
    </row>
    <row r="115" spans="1:2" x14ac:dyDescent="0.2">
      <c r="A115" s="39">
        <v>1.1299999999999999</v>
      </c>
      <c r="B115" s="39">
        <v>0.57569999999999999</v>
      </c>
    </row>
    <row r="116" spans="1:2" x14ac:dyDescent="0.2">
      <c r="A116" s="39">
        <v>1.1399999999999999</v>
      </c>
      <c r="B116" s="39">
        <v>0.56899999999999995</v>
      </c>
    </row>
    <row r="117" spans="1:2" x14ac:dyDescent="0.2">
      <c r="A117" s="39">
        <v>1.1499999999999999</v>
      </c>
      <c r="B117" s="39">
        <v>0.56230000000000002</v>
      </c>
    </row>
    <row r="118" spans="1:2" x14ac:dyDescent="0.2">
      <c r="A118" s="39">
        <v>1.1599999999999999</v>
      </c>
      <c r="B118" s="39">
        <v>0.55569999999999997</v>
      </c>
    </row>
    <row r="119" spans="1:2" x14ac:dyDescent="0.2">
      <c r="A119" s="39">
        <v>1.17</v>
      </c>
      <c r="B119" s="39">
        <v>0.54920000000000002</v>
      </c>
    </row>
    <row r="120" spans="1:2" x14ac:dyDescent="0.2">
      <c r="A120" s="39">
        <v>1.18</v>
      </c>
      <c r="B120" s="39">
        <v>0.54269999999999996</v>
      </c>
    </row>
    <row r="121" spans="1:2" x14ac:dyDescent="0.2">
      <c r="A121" s="39">
        <v>1.19</v>
      </c>
      <c r="B121" s="39">
        <v>0.5363</v>
      </c>
    </row>
    <row r="122" spans="1:2" x14ac:dyDescent="0.2">
      <c r="A122" s="39">
        <v>1.2</v>
      </c>
      <c r="B122" s="39">
        <v>0.53</v>
      </c>
    </row>
    <row r="123" spans="1:2" x14ac:dyDescent="0.2">
      <c r="A123" s="39">
        <v>1.21</v>
      </c>
      <c r="B123" s="39">
        <v>0.52370000000000005</v>
      </c>
    </row>
    <row r="124" spans="1:2" x14ac:dyDescent="0.2">
      <c r="A124" s="39">
        <v>1.22</v>
      </c>
      <c r="B124" s="39">
        <v>0.51749999999999996</v>
      </c>
    </row>
    <row r="125" spans="1:2" x14ac:dyDescent="0.2">
      <c r="A125" s="39">
        <v>1.23</v>
      </c>
      <c r="B125" s="39">
        <v>0.51139999999999997</v>
      </c>
    </row>
    <row r="126" spans="1:2" x14ac:dyDescent="0.2">
      <c r="A126" s="39">
        <v>1.24</v>
      </c>
      <c r="B126" s="39">
        <v>0.50529999999999997</v>
      </c>
    </row>
    <row r="127" spans="1:2" x14ac:dyDescent="0.2">
      <c r="A127" s="39">
        <v>1.25</v>
      </c>
      <c r="B127" s="39">
        <v>0.49930000000000002</v>
      </c>
    </row>
    <row r="128" spans="1:2" x14ac:dyDescent="0.2">
      <c r="A128" s="39">
        <v>1.26</v>
      </c>
      <c r="B128" s="39">
        <v>0.49340000000000001</v>
      </c>
    </row>
    <row r="129" spans="1:2" x14ac:dyDescent="0.2">
      <c r="A129" s="39">
        <v>1.27</v>
      </c>
      <c r="B129" s="39">
        <v>0.48749999999999999</v>
      </c>
    </row>
    <row r="130" spans="1:2" x14ac:dyDescent="0.2">
      <c r="A130" s="39">
        <v>1.28</v>
      </c>
      <c r="B130" s="39">
        <v>0.48170000000000002</v>
      </c>
    </row>
    <row r="131" spans="1:2" x14ac:dyDescent="0.2">
      <c r="A131" s="39">
        <v>1.29</v>
      </c>
      <c r="B131" s="39">
        <v>0.47599999999999998</v>
      </c>
    </row>
    <row r="132" spans="1:2" x14ac:dyDescent="0.2">
      <c r="A132" s="39">
        <v>1.3</v>
      </c>
      <c r="B132" s="39">
        <v>0.4703</v>
      </c>
    </row>
    <row r="133" spans="1:2" x14ac:dyDescent="0.2">
      <c r="A133" s="39">
        <v>1.31</v>
      </c>
      <c r="B133" s="39">
        <v>0.46479999999999999</v>
      </c>
    </row>
    <row r="134" spans="1:2" x14ac:dyDescent="0.2">
      <c r="A134" s="39">
        <v>1.32</v>
      </c>
      <c r="B134" s="39">
        <v>0.45929999999999999</v>
      </c>
    </row>
    <row r="135" spans="1:2" x14ac:dyDescent="0.2">
      <c r="A135" s="39">
        <v>1.33</v>
      </c>
      <c r="B135" s="39">
        <v>0.45379999999999998</v>
      </c>
    </row>
    <row r="136" spans="1:2" x14ac:dyDescent="0.2">
      <c r="A136" s="39">
        <v>1.34</v>
      </c>
      <c r="B136" s="39">
        <v>0.44850000000000001</v>
      </c>
    </row>
    <row r="137" spans="1:2" x14ac:dyDescent="0.2">
      <c r="A137" s="39">
        <v>1.35</v>
      </c>
      <c r="B137" s="39">
        <v>0.44319999999999998</v>
      </c>
    </row>
    <row r="138" spans="1:2" x14ac:dyDescent="0.2">
      <c r="A138" s="39">
        <v>1.36</v>
      </c>
      <c r="B138" s="39">
        <v>0.43790000000000001</v>
      </c>
    </row>
    <row r="139" spans="1:2" x14ac:dyDescent="0.2">
      <c r="A139" s="39">
        <v>1.37</v>
      </c>
      <c r="B139" s="39">
        <v>0.43290000000000001</v>
      </c>
    </row>
    <row r="140" spans="1:2" x14ac:dyDescent="0.2">
      <c r="A140" s="39">
        <v>1.38</v>
      </c>
      <c r="B140" s="39">
        <v>0.42780000000000001</v>
      </c>
    </row>
    <row r="141" spans="1:2" x14ac:dyDescent="0.2">
      <c r="A141" s="39">
        <v>1.39</v>
      </c>
      <c r="B141" s="39">
        <v>0.42280000000000001</v>
      </c>
    </row>
    <row r="142" spans="1:2" x14ac:dyDescent="0.2">
      <c r="A142" s="39">
        <v>1.4</v>
      </c>
      <c r="B142" s="39">
        <v>0.41789999999999999</v>
      </c>
    </row>
    <row r="143" spans="1:2" x14ac:dyDescent="0.2">
      <c r="A143" s="39">
        <v>1.41</v>
      </c>
      <c r="B143" s="39">
        <v>0.41299999999999998</v>
      </c>
    </row>
    <row r="144" spans="1:2" x14ac:dyDescent="0.2">
      <c r="A144" s="39">
        <v>1.42</v>
      </c>
      <c r="B144" s="39">
        <v>0.4083</v>
      </c>
    </row>
    <row r="145" spans="1:2" x14ac:dyDescent="0.2">
      <c r="A145" s="39">
        <v>1.43</v>
      </c>
      <c r="B145" s="39">
        <v>0.40360000000000001</v>
      </c>
    </row>
    <row r="146" spans="1:2" x14ac:dyDescent="0.2">
      <c r="A146" s="39">
        <v>1.44</v>
      </c>
      <c r="B146" s="39">
        <v>0.39889999999999998</v>
      </c>
    </row>
    <row r="147" spans="1:2" x14ac:dyDescent="0.2">
      <c r="A147" s="39">
        <v>1.45</v>
      </c>
      <c r="B147" s="39">
        <v>0.39429999999999998</v>
      </c>
    </row>
    <row r="148" spans="1:2" x14ac:dyDescent="0.2">
      <c r="A148" s="39">
        <v>1.46</v>
      </c>
      <c r="B148" s="39">
        <v>0.38979999999999998</v>
      </c>
    </row>
    <row r="149" spans="1:2" x14ac:dyDescent="0.2">
      <c r="A149" s="39">
        <v>1.47</v>
      </c>
      <c r="B149" s="39">
        <v>0.38540000000000002</v>
      </c>
    </row>
    <row r="150" spans="1:2" x14ac:dyDescent="0.2">
      <c r="A150" s="39">
        <v>1.48</v>
      </c>
      <c r="B150" s="39">
        <v>0.38100000000000001</v>
      </c>
    </row>
    <row r="151" spans="1:2" x14ac:dyDescent="0.2">
      <c r="A151" s="39">
        <v>1.49</v>
      </c>
      <c r="B151" s="39">
        <v>0.37669999999999998</v>
      </c>
    </row>
    <row r="152" spans="1:2" x14ac:dyDescent="0.2">
      <c r="A152" s="39">
        <v>1.5</v>
      </c>
      <c r="B152" s="39">
        <v>0.37240000000000001</v>
      </c>
    </row>
    <row r="153" spans="1:2" x14ac:dyDescent="0.2">
      <c r="A153" s="39">
        <v>1.51</v>
      </c>
      <c r="B153" s="39">
        <v>0.36820000000000003</v>
      </c>
    </row>
    <row r="154" spans="1:2" x14ac:dyDescent="0.2">
      <c r="A154" s="39">
        <v>1.52</v>
      </c>
      <c r="B154" s="39">
        <v>0.36409999999999998</v>
      </c>
    </row>
    <row r="155" spans="1:2" x14ac:dyDescent="0.2">
      <c r="A155" s="39">
        <v>1.53</v>
      </c>
      <c r="B155" s="39">
        <v>0.36009999999999998</v>
      </c>
    </row>
    <row r="156" spans="1:2" x14ac:dyDescent="0.2">
      <c r="A156" s="39">
        <v>1.54</v>
      </c>
      <c r="B156" s="39">
        <v>0.35610000000000003</v>
      </c>
    </row>
    <row r="157" spans="1:2" x14ac:dyDescent="0.2">
      <c r="A157" s="39">
        <v>1.55</v>
      </c>
      <c r="B157" s="39">
        <v>0.35210000000000002</v>
      </c>
    </row>
    <row r="158" spans="1:2" x14ac:dyDescent="0.2">
      <c r="A158" s="39">
        <v>1.56</v>
      </c>
      <c r="B158" s="39">
        <v>0.34820000000000001</v>
      </c>
    </row>
    <row r="159" spans="1:2" x14ac:dyDescent="0.2">
      <c r="A159" s="39">
        <v>1.57</v>
      </c>
      <c r="B159" s="39">
        <v>0.34439999999999998</v>
      </c>
    </row>
    <row r="160" spans="1:2" x14ac:dyDescent="0.2">
      <c r="A160" s="39">
        <v>1.58</v>
      </c>
      <c r="B160" s="39">
        <v>0.34060000000000001</v>
      </c>
    </row>
    <row r="161" spans="1:2" x14ac:dyDescent="0.2">
      <c r="A161" s="39">
        <v>1.59</v>
      </c>
      <c r="B161" s="39">
        <v>0.33689999999999998</v>
      </c>
    </row>
    <row r="162" spans="1:2" x14ac:dyDescent="0.2">
      <c r="A162" s="39">
        <v>1.6</v>
      </c>
      <c r="B162" s="39">
        <v>0.3332</v>
      </c>
    </row>
    <row r="163" spans="1:2" x14ac:dyDescent="0.2">
      <c r="A163" s="39">
        <v>1.61</v>
      </c>
      <c r="B163" s="39">
        <v>0.3296</v>
      </c>
    </row>
    <row r="164" spans="1:2" x14ac:dyDescent="0.2">
      <c r="A164" s="39">
        <v>1.62</v>
      </c>
      <c r="B164" s="39">
        <v>0.3261</v>
      </c>
    </row>
    <row r="165" spans="1:2" x14ac:dyDescent="0.2">
      <c r="A165" s="39">
        <v>1.63</v>
      </c>
      <c r="B165" s="39">
        <v>0.3226</v>
      </c>
    </row>
    <row r="166" spans="1:2" x14ac:dyDescent="0.2">
      <c r="A166" s="39">
        <v>1.64</v>
      </c>
      <c r="B166" s="39">
        <v>0.31909999999999999</v>
      </c>
    </row>
    <row r="167" spans="1:2" x14ac:dyDescent="0.2">
      <c r="A167" s="39">
        <v>1.65</v>
      </c>
      <c r="B167" s="39">
        <v>0.31569999999999998</v>
      </c>
    </row>
    <row r="168" spans="1:2" x14ac:dyDescent="0.2">
      <c r="A168" s="39">
        <v>1.66</v>
      </c>
      <c r="B168" s="39">
        <v>0.31240000000000001</v>
      </c>
    </row>
    <row r="169" spans="1:2" x14ac:dyDescent="0.2">
      <c r="A169" s="39">
        <v>1.67</v>
      </c>
      <c r="B169" s="39">
        <v>0.30909999999999999</v>
      </c>
    </row>
    <row r="170" spans="1:2" x14ac:dyDescent="0.2">
      <c r="A170" s="39">
        <v>1.68</v>
      </c>
      <c r="B170" s="39">
        <v>0.30580000000000002</v>
      </c>
    </row>
    <row r="171" spans="1:2" x14ac:dyDescent="0.2">
      <c r="A171" s="39">
        <v>1.69</v>
      </c>
      <c r="B171" s="39">
        <v>0.30259999999999998</v>
      </c>
    </row>
    <row r="172" spans="1:2" x14ac:dyDescent="0.2">
      <c r="A172" s="39">
        <v>1.7</v>
      </c>
      <c r="B172" s="39">
        <v>0.2994</v>
      </c>
    </row>
    <row r="173" spans="1:2" x14ac:dyDescent="0.2">
      <c r="A173" s="39">
        <v>1.71</v>
      </c>
      <c r="B173" s="39">
        <v>0.29630000000000001</v>
      </c>
    </row>
    <row r="174" spans="1:2" x14ac:dyDescent="0.2">
      <c r="A174" s="39">
        <v>1.72</v>
      </c>
      <c r="B174" s="39">
        <v>0.29330000000000001</v>
      </c>
    </row>
    <row r="175" spans="1:2" x14ac:dyDescent="0.2">
      <c r="A175" s="39">
        <v>1.73</v>
      </c>
      <c r="B175" s="39">
        <v>0.29020000000000001</v>
      </c>
    </row>
    <row r="176" spans="1:2" x14ac:dyDescent="0.2">
      <c r="A176" s="39">
        <v>1.74</v>
      </c>
      <c r="B176" s="39">
        <v>0.28720000000000001</v>
      </c>
    </row>
    <row r="177" spans="1:2" x14ac:dyDescent="0.2">
      <c r="A177" s="39">
        <v>1.75</v>
      </c>
      <c r="B177" s="39">
        <v>0.2843</v>
      </c>
    </row>
    <row r="178" spans="1:2" x14ac:dyDescent="0.2">
      <c r="A178" s="39">
        <v>1.76</v>
      </c>
      <c r="B178" s="39">
        <v>0.28139999999999998</v>
      </c>
    </row>
    <row r="179" spans="1:2" x14ac:dyDescent="0.2">
      <c r="A179" s="39">
        <v>1.77</v>
      </c>
      <c r="B179" s="39">
        <v>0.27860000000000001</v>
      </c>
    </row>
    <row r="180" spans="1:2" x14ac:dyDescent="0.2">
      <c r="A180" s="39">
        <v>1.78</v>
      </c>
      <c r="B180" s="39">
        <v>0.2757</v>
      </c>
    </row>
    <row r="181" spans="1:2" x14ac:dyDescent="0.2">
      <c r="A181" s="39">
        <v>1.79</v>
      </c>
      <c r="B181" s="39">
        <v>0.27300000000000002</v>
      </c>
    </row>
    <row r="182" spans="1:2" x14ac:dyDescent="0.2">
      <c r="A182" s="39">
        <v>1.8</v>
      </c>
      <c r="B182" s="39">
        <v>0.2702</v>
      </c>
    </row>
    <row r="183" spans="1:2" x14ac:dyDescent="0.2">
      <c r="A183" s="39">
        <v>1.81</v>
      </c>
      <c r="B183" s="39">
        <v>0.26750000000000002</v>
      </c>
    </row>
    <row r="184" spans="1:2" x14ac:dyDescent="0.2">
      <c r="A184" s="39">
        <v>1.82</v>
      </c>
      <c r="B184" s="39">
        <v>0.26490000000000002</v>
      </c>
    </row>
    <row r="185" spans="1:2" x14ac:dyDescent="0.2">
      <c r="A185" s="39">
        <v>1.83</v>
      </c>
      <c r="B185" s="39">
        <v>0.26229999999999998</v>
      </c>
    </row>
    <row r="186" spans="1:2" x14ac:dyDescent="0.2">
      <c r="A186" s="39">
        <v>1.84</v>
      </c>
      <c r="B186" s="39">
        <v>0.25969999999999999</v>
      </c>
    </row>
    <row r="187" spans="1:2" x14ac:dyDescent="0.2">
      <c r="A187" s="39">
        <v>1.85</v>
      </c>
      <c r="B187" s="39">
        <v>0.2571</v>
      </c>
    </row>
    <row r="188" spans="1:2" x14ac:dyDescent="0.2">
      <c r="A188" s="39">
        <v>1.86</v>
      </c>
      <c r="B188" s="39">
        <v>0.25459999999999999</v>
      </c>
    </row>
    <row r="189" spans="1:2" x14ac:dyDescent="0.2">
      <c r="A189" s="39">
        <v>1.87</v>
      </c>
      <c r="B189" s="39">
        <v>0.25219999999999998</v>
      </c>
    </row>
    <row r="190" spans="1:2" x14ac:dyDescent="0.2">
      <c r="A190" s="39">
        <v>1.88</v>
      </c>
      <c r="B190" s="39">
        <v>0.24970000000000001</v>
      </c>
    </row>
    <row r="191" spans="1:2" x14ac:dyDescent="0.2">
      <c r="A191" s="39">
        <v>1.89</v>
      </c>
      <c r="B191" s="39">
        <v>0.24729999999999999</v>
      </c>
    </row>
    <row r="192" spans="1:2" x14ac:dyDescent="0.2">
      <c r="A192" s="39">
        <v>1.9</v>
      </c>
      <c r="B192" s="39">
        <v>0.24490000000000001</v>
      </c>
    </row>
    <row r="193" spans="1:2" x14ac:dyDescent="0.2">
      <c r="A193" s="39">
        <v>1.91</v>
      </c>
      <c r="B193" s="39">
        <v>0.24260000000000001</v>
      </c>
    </row>
    <row r="194" spans="1:2" x14ac:dyDescent="0.2">
      <c r="A194" s="39">
        <v>1.92</v>
      </c>
      <c r="B194" s="39">
        <v>0.24030000000000001</v>
      </c>
    </row>
    <row r="195" spans="1:2" x14ac:dyDescent="0.2">
      <c r="A195" s="39">
        <v>1.93</v>
      </c>
      <c r="B195" s="39">
        <v>0.23799999999999999</v>
      </c>
    </row>
    <row r="196" spans="1:2" x14ac:dyDescent="0.2">
      <c r="A196" s="39">
        <v>1.94</v>
      </c>
      <c r="B196" s="39">
        <v>0.23580000000000001</v>
      </c>
    </row>
    <row r="197" spans="1:2" x14ac:dyDescent="0.2">
      <c r="A197" s="39">
        <v>1.95</v>
      </c>
      <c r="B197" s="39">
        <v>0.23350000000000001</v>
      </c>
    </row>
    <row r="198" spans="1:2" x14ac:dyDescent="0.2">
      <c r="A198" s="39">
        <v>1.96</v>
      </c>
      <c r="B198" s="39">
        <v>0.23139999999999999</v>
      </c>
    </row>
    <row r="199" spans="1:2" x14ac:dyDescent="0.2">
      <c r="A199" s="39">
        <v>1.97</v>
      </c>
      <c r="B199" s="39">
        <v>0.22919999999999999</v>
      </c>
    </row>
    <row r="200" spans="1:2" x14ac:dyDescent="0.2">
      <c r="A200" s="39">
        <v>1.98</v>
      </c>
      <c r="B200" s="39">
        <v>0.2271</v>
      </c>
    </row>
    <row r="201" spans="1:2" x14ac:dyDescent="0.2">
      <c r="A201" s="39">
        <v>1.99</v>
      </c>
      <c r="B201" s="39">
        <v>0.22500000000000001</v>
      </c>
    </row>
    <row r="202" spans="1:2" x14ac:dyDescent="0.2">
      <c r="A202" s="39">
        <v>2</v>
      </c>
      <c r="B202" s="39">
        <v>0.22289999999999999</v>
      </c>
    </row>
    <row r="203" spans="1:2" x14ac:dyDescent="0.2">
      <c r="A203" s="39">
        <v>2.0099999999999998</v>
      </c>
      <c r="B203" s="39">
        <v>0.22090000000000001</v>
      </c>
    </row>
    <row r="204" spans="1:2" x14ac:dyDescent="0.2">
      <c r="A204" s="39">
        <v>2.02</v>
      </c>
      <c r="B204" s="39">
        <v>0.21879999999999999</v>
      </c>
    </row>
    <row r="205" spans="1:2" x14ac:dyDescent="0.2">
      <c r="A205" s="39">
        <v>2.0299999999999998</v>
      </c>
      <c r="B205" s="39">
        <v>0.21679999999999999</v>
      </c>
    </row>
    <row r="206" spans="1:2" x14ac:dyDescent="0.2">
      <c r="A206" s="39">
        <v>2.04</v>
      </c>
      <c r="B206" s="39">
        <v>0.21490000000000001</v>
      </c>
    </row>
    <row r="207" spans="1:2" x14ac:dyDescent="0.2">
      <c r="A207" s="39">
        <v>2.0499999999999998</v>
      </c>
      <c r="B207" s="39">
        <v>0.21290000000000001</v>
      </c>
    </row>
    <row r="208" spans="1:2" x14ac:dyDescent="0.2">
      <c r="A208" s="39">
        <v>2.06</v>
      </c>
      <c r="B208" s="39">
        <v>0.21099999999999999</v>
      </c>
    </row>
    <row r="209" spans="1:2" x14ac:dyDescent="0.2">
      <c r="A209" s="39">
        <v>2.0699999999999998</v>
      </c>
      <c r="B209" s="39">
        <v>0.20910000000000001</v>
      </c>
    </row>
    <row r="210" spans="1:2" x14ac:dyDescent="0.2">
      <c r="A210" s="39">
        <v>2.08</v>
      </c>
      <c r="B210" s="39">
        <v>0.20730000000000001</v>
      </c>
    </row>
    <row r="211" spans="1:2" x14ac:dyDescent="0.2">
      <c r="A211" s="39">
        <v>2.09</v>
      </c>
      <c r="B211" s="39">
        <v>0.2054</v>
      </c>
    </row>
    <row r="212" spans="1:2" x14ac:dyDescent="0.2">
      <c r="A212" s="39">
        <v>2.1</v>
      </c>
      <c r="B212" s="39">
        <v>0.2036</v>
      </c>
    </row>
    <row r="213" spans="1:2" x14ac:dyDescent="0.2">
      <c r="A213" s="39">
        <v>2.11</v>
      </c>
      <c r="B213" s="39">
        <v>0.20180000000000001</v>
      </c>
    </row>
    <row r="214" spans="1:2" x14ac:dyDescent="0.2">
      <c r="A214" s="39">
        <v>2.12</v>
      </c>
      <c r="B214" s="39">
        <v>0.2001</v>
      </c>
    </row>
    <row r="215" spans="1:2" x14ac:dyDescent="0.2">
      <c r="A215" s="39">
        <v>2.13</v>
      </c>
      <c r="B215" s="39">
        <v>0.1983</v>
      </c>
    </row>
    <row r="216" spans="1:2" x14ac:dyDescent="0.2">
      <c r="A216" s="39">
        <v>2.14</v>
      </c>
      <c r="B216" s="39">
        <v>0.1966</v>
      </c>
    </row>
    <row r="217" spans="1:2" x14ac:dyDescent="0.2">
      <c r="A217" s="39">
        <v>2.15</v>
      </c>
      <c r="B217" s="39">
        <v>0.19489999999999999</v>
      </c>
    </row>
    <row r="218" spans="1:2" x14ac:dyDescent="0.2">
      <c r="A218" s="39">
        <v>2.16</v>
      </c>
      <c r="B218" s="39">
        <v>0.19320000000000001</v>
      </c>
    </row>
    <row r="219" spans="1:2" x14ac:dyDescent="0.2">
      <c r="A219" s="39">
        <v>2.17</v>
      </c>
      <c r="B219" s="39">
        <v>0.1915</v>
      </c>
    </row>
    <row r="220" spans="1:2" x14ac:dyDescent="0.2">
      <c r="A220" s="39">
        <v>2.1800000000000002</v>
      </c>
      <c r="B220" s="39">
        <v>0.18990000000000001</v>
      </c>
    </row>
    <row r="221" spans="1:2" x14ac:dyDescent="0.2">
      <c r="A221" s="39">
        <v>2.19</v>
      </c>
      <c r="B221" s="39">
        <v>0.1883</v>
      </c>
    </row>
    <row r="222" spans="1:2" x14ac:dyDescent="0.2">
      <c r="A222" s="39">
        <v>2.2000000000000002</v>
      </c>
      <c r="B222" s="39">
        <v>0.1867</v>
      </c>
    </row>
    <row r="223" spans="1:2" x14ac:dyDescent="0.2">
      <c r="A223" s="39">
        <v>2.21</v>
      </c>
      <c r="B223" s="39">
        <v>0.18509999999999999</v>
      </c>
    </row>
    <row r="224" spans="1:2" x14ac:dyDescent="0.2">
      <c r="A224" s="39">
        <v>2.2200000000000002</v>
      </c>
      <c r="B224" s="39">
        <v>0.18360000000000001</v>
      </c>
    </row>
    <row r="225" spans="1:2" x14ac:dyDescent="0.2">
      <c r="A225" s="39">
        <v>2.23</v>
      </c>
      <c r="B225" s="39">
        <v>0.182</v>
      </c>
    </row>
    <row r="226" spans="1:2" x14ac:dyDescent="0.2">
      <c r="A226" s="39">
        <v>2.2400000000000002</v>
      </c>
      <c r="B226" s="39">
        <v>0.18049999999999999</v>
      </c>
    </row>
    <row r="227" spans="1:2" x14ac:dyDescent="0.2">
      <c r="A227" s="39">
        <v>2.25</v>
      </c>
      <c r="B227" s="39">
        <v>0.17899999999999999</v>
      </c>
    </row>
    <row r="228" spans="1:2" x14ac:dyDescent="0.2">
      <c r="A228" s="39">
        <v>2.2599999999999998</v>
      </c>
      <c r="B228" s="39">
        <v>0.17749999999999999</v>
      </c>
    </row>
    <row r="229" spans="1:2" x14ac:dyDescent="0.2">
      <c r="A229" s="39">
        <v>2.27</v>
      </c>
      <c r="B229" s="39">
        <v>0.17599999999999999</v>
      </c>
    </row>
    <row r="230" spans="1:2" x14ac:dyDescent="0.2">
      <c r="A230" s="39">
        <v>2.2799999999999998</v>
      </c>
      <c r="B230" s="39">
        <v>0.17460000000000001</v>
      </c>
    </row>
    <row r="231" spans="1:2" x14ac:dyDescent="0.2">
      <c r="A231" s="39">
        <v>2.29</v>
      </c>
      <c r="B231" s="39">
        <v>0.17319999999999999</v>
      </c>
    </row>
    <row r="232" spans="1:2" x14ac:dyDescent="0.2">
      <c r="A232" s="39">
        <v>2.2999999999999998</v>
      </c>
      <c r="B232" s="39">
        <v>0.17169999999999999</v>
      </c>
    </row>
    <row r="233" spans="1:2" x14ac:dyDescent="0.2">
      <c r="A233" s="39">
        <v>2.31</v>
      </c>
      <c r="B233" s="39">
        <v>0.1704</v>
      </c>
    </row>
    <row r="234" spans="1:2" x14ac:dyDescent="0.2">
      <c r="A234" s="39">
        <v>2.3199999999999998</v>
      </c>
      <c r="B234" s="39">
        <v>0.16900000000000001</v>
      </c>
    </row>
    <row r="235" spans="1:2" x14ac:dyDescent="0.2">
      <c r="A235" s="39">
        <v>2.33</v>
      </c>
      <c r="B235" s="39">
        <v>0.1676</v>
      </c>
    </row>
    <row r="236" spans="1:2" x14ac:dyDescent="0.2">
      <c r="A236" s="39">
        <v>2.34</v>
      </c>
      <c r="B236" s="39">
        <v>0.1663</v>
      </c>
    </row>
    <row r="237" spans="1:2" x14ac:dyDescent="0.2">
      <c r="A237" s="39">
        <v>2.35</v>
      </c>
      <c r="B237" s="39">
        <v>0.16489999999999999</v>
      </c>
    </row>
    <row r="238" spans="1:2" x14ac:dyDescent="0.2">
      <c r="A238" s="39">
        <v>2.36</v>
      </c>
      <c r="B238" s="39">
        <v>0.1636</v>
      </c>
    </row>
    <row r="239" spans="1:2" x14ac:dyDescent="0.2">
      <c r="A239" s="39">
        <v>2.37</v>
      </c>
      <c r="B239" s="39">
        <v>0.1623</v>
      </c>
    </row>
    <row r="240" spans="1:2" x14ac:dyDescent="0.2">
      <c r="A240" s="39">
        <v>2.38</v>
      </c>
      <c r="B240" s="39">
        <v>0.161</v>
      </c>
    </row>
    <row r="241" spans="1:2" x14ac:dyDescent="0.2">
      <c r="A241" s="39">
        <v>2.39</v>
      </c>
      <c r="B241" s="39">
        <v>0.1598</v>
      </c>
    </row>
    <row r="242" spans="1:2" x14ac:dyDescent="0.2">
      <c r="A242" s="39">
        <v>2.4</v>
      </c>
      <c r="B242" s="39">
        <v>0.1585</v>
      </c>
    </row>
    <row r="243" spans="1:2" x14ac:dyDescent="0.2">
      <c r="A243" s="39">
        <v>2.41</v>
      </c>
      <c r="B243" s="39">
        <v>0.1573</v>
      </c>
    </row>
    <row r="244" spans="1:2" x14ac:dyDescent="0.2">
      <c r="A244" s="39">
        <v>2.42</v>
      </c>
      <c r="B244" s="39">
        <v>0.156</v>
      </c>
    </row>
    <row r="245" spans="1:2" x14ac:dyDescent="0.2">
      <c r="A245" s="39">
        <v>2.4300000000000002</v>
      </c>
      <c r="B245" s="39">
        <v>0.15479999999999999</v>
      </c>
    </row>
    <row r="246" spans="1:2" x14ac:dyDescent="0.2">
      <c r="A246" s="39">
        <v>2.44</v>
      </c>
      <c r="B246" s="39">
        <v>0.15359999999999999</v>
      </c>
    </row>
    <row r="247" spans="1:2" x14ac:dyDescent="0.2">
      <c r="A247" s="39">
        <v>2.4500000000000002</v>
      </c>
      <c r="B247" s="39">
        <v>0.15240000000000001</v>
      </c>
    </row>
    <row r="248" spans="1:2" x14ac:dyDescent="0.2">
      <c r="A248" s="39">
        <v>2.46</v>
      </c>
      <c r="B248" s="39">
        <v>0.15129999999999999</v>
      </c>
    </row>
    <row r="249" spans="1:2" x14ac:dyDescent="0.2">
      <c r="A249" s="39">
        <v>2.4700000000000002</v>
      </c>
      <c r="B249" s="39">
        <v>0.15010000000000001</v>
      </c>
    </row>
    <row r="250" spans="1:2" x14ac:dyDescent="0.2">
      <c r="A250" s="39">
        <v>2.48</v>
      </c>
      <c r="B250" s="39">
        <v>0.14899999999999999</v>
      </c>
    </row>
    <row r="251" spans="1:2" x14ac:dyDescent="0.2">
      <c r="A251" s="39">
        <v>2.4900000000000002</v>
      </c>
      <c r="B251" s="39">
        <v>0.14779999999999999</v>
      </c>
    </row>
    <row r="252" spans="1:2" x14ac:dyDescent="0.2">
      <c r="A252" s="39">
        <v>2.5</v>
      </c>
      <c r="B252" s="39">
        <v>0.1467</v>
      </c>
    </row>
    <row r="253" spans="1:2" x14ac:dyDescent="0.2">
      <c r="A253" s="39">
        <v>2.5099999999999998</v>
      </c>
      <c r="B253" s="39">
        <v>0.14560000000000001</v>
      </c>
    </row>
    <row r="254" spans="1:2" x14ac:dyDescent="0.2">
      <c r="A254" s="39">
        <v>2.52</v>
      </c>
      <c r="B254" s="39">
        <v>0.14449999999999999</v>
      </c>
    </row>
    <row r="255" spans="1:2" x14ac:dyDescent="0.2">
      <c r="A255" s="39">
        <v>2.5299999999999998</v>
      </c>
      <c r="B255" s="39">
        <v>0.1434</v>
      </c>
    </row>
    <row r="256" spans="1:2" x14ac:dyDescent="0.2">
      <c r="A256" s="39">
        <v>2.54</v>
      </c>
      <c r="B256" s="39">
        <v>0.1424</v>
      </c>
    </row>
    <row r="257" spans="1:2" x14ac:dyDescent="0.2">
      <c r="A257" s="39">
        <v>2.5499999999999998</v>
      </c>
      <c r="B257" s="39">
        <v>0.14130000000000001</v>
      </c>
    </row>
    <row r="258" spans="1:2" x14ac:dyDescent="0.2">
      <c r="A258" s="39">
        <v>2.56</v>
      </c>
      <c r="B258" s="39">
        <v>0.14030000000000001</v>
      </c>
    </row>
    <row r="259" spans="1:2" x14ac:dyDescent="0.2">
      <c r="A259" s="39">
        <v>2.57</v>
      </c>
      <c r="B259" s="39">
        <v>0.13919999999999999</v>
      </c>
    </row>
    <row r="260" spans="1:2" x14ac:dyDescent="0.2">
      <c r="A260" s="39">
        <v>2.58</v>
      </c>
      <c r="B260" s="39">
        <v>0.13819999999999999</v>
      </c>
    </row>
    <row r="261" spans="1:2" x14ac:dyDescent="0.2">
      <c r="A261" s="39">
        <v>2.59</v>
      </c>
      <c r="B261" s="39">
        <v>0.13719999999999999</v>
      </c>
    </row>
    <row r="262" spans="1:2" x14ac:dyDescent="0.2">
      <c r="A262" s="39">
        <v>2.6</v>
      </c>
      <c r="B262" s="39">
        <v>0.13619999999999999</v>
      </c>
    </row>
    <row r="263" spans="1:2" x14ac:dyDescent="0.2">
      <c r="A263" s="39">
        <v>2.61</v>
      </c>
      <c r="B263" s="39">
        <v>0.13519999999999999</v>
      </c>
    </row>
    <row r="264" spans="1:2" x14ac:dyDescent="0.2">
      <c r="A264" s="39">
        <v>2.62</v>
      </c>
      <c r="B264" s="39">
        <v>0.13420000000000001</v>
      </c>
    </row>
    <row r="265" spans="1:2" x14ac:dyDescent="0.2">
      <c r="A265" s="39">
        <v>2.63</v>
      </c>
      <c r="B265" s="39">
        <v>0.13320000000000001</v>
      </c>
    </row>
    <row r="266" spans="1:2" x14ac:dyDescent="0.2">
      <c r="A266" s="39">
        <v>2.64</v>
      </c>
      <c r="B266" s="39">
        <v>0.1323</v>
      </c>
    </row>
    <row r="267" spans="1:2" x14ac:dyDescent="0.2">
      <c r="A267" s="39">
        <v>2.65</v>
      </c>
      <c r="B267" s="39">
        <v>0.1313</v>
      </c>
    </row>
    <row r="268" spans="1:2" x14ac:dyDescent="0.2">
      <c r="A268" s="39">
        <v>2.66</v>
      </c>
      <c r="B268" s="39">
        <v>0.13039999999999999</v>
      </c>
    </row>
    <row r="269" spans="1:2" x14ac:dyDescent="0.2">
      <c r="A269" s="39">
        <v>2.67</v>
      </c>
      <c r="B269" s="39">
        <v>0.1295</v>
      </c>
    </row>
    <row r="270" spans="1:2" x14ac:dyDescent="0.2">
      <c r="A270" s="39">
        <v>2.68</v>
      </c>
      <c r="B270" s="39">
        <v>0.1285</v>
      </c>
    </row>
    <row r="271" spans="1:2" x14ac:dyDescent="0.2">
      <c r="A271" s="39">
        <v>2.69</v>
      </c>
      <c r="B271" s="39">
        <v>0.12759999999999999</v>
      </c>
    </row>
    <row r="272" spans="1:2" x14ac:dyDescent="0.2">
      <c r="A272" s="39">
        <v>2.7</v>
      </c>
      <c r="B272" s="39">
        <v>0.12670000000000001</v>
      </c>
    </row>
    <row r="273" spans="1:2" x14ac:dyDescent="0.2">
      <c r="A273" s="39">
        <v>2.71</v>
      </c>
      <c r="B273" s="39">
        <v>0.1258</v>
      </c>
    </row>
    <row r="274" spans="1:2" x14ac:dyDescent="0.2">
      <c r="A274" s="39">
        <v>2.72</v>
      </c>
      <c r="B274" s="39">
        <v>0.125</v>
      </c>
    </row>
    <row r="275" spans="1:2" x14ac:dyDescent="0.2">
      <c r="A275" s="39">
        <v>2.73</v>
      </c>
      <c r="B275" s="39">
        <v>0.1241</v>
      </c>
    </row>
    <row r="276" spans="1:2" x14ac:dyDescent="0.2">
      <c r="A276" s="39">
        <v>2.74</v>
      </c>
      <c r="B276" s="39">
        <v>0.1232</v>
      </c>
    </row>
    <row r="277" spans="1:2" x14ac:dyDescent="0.2">
      <c r="A277" s="39">
        <v>2.75</v>
      </c>
      <c r="B277" s="39">
        <v>0.12239999999999999</v>
      </c>
    </row>
    <row r="278" spans="1:2" x14ac:dyDescent="0.2">
      <c r="A278" s="39">
        <v>2.76</v>
      </c>
      <c r="B278" s="39">
        <v>0.1215</v>
      </c>
    </row>
    <row r="279" spans="1:2" x14ac:dyDescent="0.2">
      <c r="A279" s="39">
        <v>2.77</v>
      </c>
      <c r="B279" s="39">
        <v>0.1207</v>
      </c>
    </row>
    <row r="280" spans="1:2" x14ac:dyDescent="0.2">
      <c r="A280" s="39">
        <v>2.78</v>
      </c>
      <c r="B280" s="39">
        <v>0.1198</v>
      </c>
    </row>
    <row r="281" spans="1:2" x14ac:dyDescent="0.2">
      <c r="A281" s="39">
        <v>2.79</v>
      </c>
      <c r="B281" s="39">
        <v>0.11899999999999999</v>
      </c>
    </row>
    <row r="282" spans="1:2" x14ac:dyDescent="0.2">
      <c r="A282" s="39">
        <v>2.8</v>
      </c>
      <c r="B282" s="39">
        <v>0.1182</v>
      </c>
    </row>
    <row r="283" spans="1:2" x14ac:dyDescent="0.2">
      <c r="A283" s="39">
        <v>2.81</v>
      </c>
      <c r="B283" s="39">
        <v>0.1174</v>
      </c>
    </row>
    <row r="284" spans="1:2" x14ac:dyDescent="0.2">
      <c r="A284" s="39">
        <v>2.82</v>
      </c>
      <c r="B284" s="39">
        <v>0.1166</v>
      </c>
    </row>
    <row r="285" spans="1:2" x14ac:dyDescent="0.2">
      <c r="A285" s="39">
        <v>2.83</v>
      </c>
      <c r="B285" s="39">
        <v>0.1158</v>
      </c>
    </row>
    <row r="286" spans="1:2" x14ac:dyDescent="0.2">
      <c r="A286" s="39">
        <v>2.84</v>
      </c>
      <c r="B286" s="39">
        <v>0.115</v>
      </c>
    </row>
    <row r="287" spans="1:2" x14ac:dyDescent="0.2">
      <c r="A287" s="39">
        <v>2.85</v>
      </c>
      <c r="B287" s="39">
        <v>0.1143</v>
      </c>
    </row>
    <row r="288" spans="1:2" x14ac:dyDescent="0.2">
      <c r="A288" s="39">
        <v>2.86</v>
      </c>
      <c r="B288" s="39">
        <v>0.1135</v>
      </c>
    </row>
    <row r="289" spans="1:2" x14ac:dyDescent="0.2">
      <c r="A289" s="39">
        <v>2.87</v>
      </c>
      <c r="B289" s="39">
        <v>0.1128</v>
      </c>
    </row>
    <row r="290" spans="1:2" x14ac:dyDescent="0.2">
      <c r="A290" s="39">
        <v>2.88</v>
      </c>
      <c r="B290" s="39">
        <v>0.112</v>
      </c>
    </row>
    <row r="291" spans="1:2" x14ac:dyDescent="0.2">
      <c r="A291" s="39">
        <v>2.89</v>
      </c>
      <c r="B291" s="39">
        <v>0.1113</v>
      </c>
    </row>
    <row r="292" spans="1:2" x14ac:dyDescent="0.2">
      <c r="A292" s="39">
        <v>2.9</v>
      </c>
      <c r="B292" s="39">
        <v>0.1105</v>
      </c>
    </row>
    <row r="293" spans="1:2" x14ac:dyDescent="0.2">
      <c r="A293" s="39">
        <v>2.91</v>
      </c>
      <c r="B293" s="39">
        <v>0.10979999999999999</v>
      </c>
    </row>
    <row r="294" spans="1:2" x14ac:dyDescent="0.2">
      <c r="A294" s="39">
        <v>2.92</v>
      </c>
      <c r="B294" s="39">
        <v>0.1091</v>
      </c>
    </row>
    <row r="295" spans="1:2" x14ac:dyDescent="0.2">
      <c r="A295" s="39">
        <v>2.93</v>
      </c>
      <c r="B295" s="39">
        <v>0.1084</v>
      </c>
    </row>
    <row r="296" spans="1:2" x14ac:dyDescent="0.2">
      <c r="A296" s="39">
        <v>2.94</v>
      </c>
      <c r="B296" s="39">
        <v>0.1077</v>
      </c>
    </row>
    <row r="297" spans="1:2" x14ac:dyDescent="0.2">
      <c r="A297" s="39">
        <v>2.95</v>
      </c>
      <c r="B297" s="39">
        <v>0.107</v>
      </c>
    </row>
    <row r="298" spans="1:2" x14ac:dyDescent="0.2">
      <c r="A298" s="39">
        <v>2.96</v>
      </c>
      <c r="B298" s="39">
        <v>0.10630000000000001</v>
      </c>
    </row>
    <row r="299" spans="1:2" x14ac:dyDescent="0.2">
      <c r="A299" s="39">
        <v>2.97</v>
      </c>
      <c r="B299" s="39">
        <v>0.1056</v>
      </c>
    </row>
    <row r="300" spans="1:2" x14ac:dyDescent="0.2">
      <c r="A300" s="39">
        <v>2.98</v>
      </c>
      <c r="B300" s="39">
        <v>0.10489999999999999</v>
      </c>
    </row>
    <row r="301" spans="1:2" x14ac:dyDescent="0.2">
      <c r="A301" s="39">
        <v>2.99</v>
      </c>
      <c r="B301" s="39">
        <v>0.1042</v>
      </c>
    </row>
    <row r="302" spans="1:2" x14ac:dyDescent="0.2">
      <c r="A302" s="39">
        <v>3</v>
      </c>
      <c r="B302" s="39">
        <v>0.1036</v>
      </c>
    </row>
    <row r="303" spans="1:2" x14ac:dyDescent="0.2">
      <c r="A303" s="39">
        <v>3.01</v>
      </c>
      <c r="B303" s="39">
        <v>0.10290000000000001</v>
      </c>
    </row>
    <row r="304" spans="1:2" x14ac:dyDescent="0.2">
      <c r="A304" s="39">
        <v>3.02</v>
      </c>
      <c r="B304" s="39">
        <v>0.1022</v>
      </c>
    </row>
    <row r="305" spans="1:2" x14ac:dyDescent="0.2">
      <c r="A305" s="39">
        <v>3.03</v>
      </c>
      <c r="B305" s="39">
        <v>0.1016</v>
      </c>
    </row>
    <row r="306" spans="1:2" x14ac:dyDescent="0.2">
      <c r="A306" s="39">
        <v>3.04</v>
      </c>
      <c r="B306" s="39">
        <v>0.10100000000000001</v>
      </c>
    </row>
    <row r="307" spans="1:2" x14ac:dyDescent="0.2">
      <c r="A307" s="39">
        <v>3.05</v>
      </c>
      <c r="B307" s="39">
        <v>0.1003</v>
      </c>
    </row>
    <row r="308" spans="1:2" x14ac:dyDescent="0.2">
      <c r="A308" s="39">
        <v>3.06</v>
      </c>
      <c r="B308" s="39">
        <v>9.9699999999999997E-2</v>
      </c>
    </row>
    <row r="309" spans="1:2" x14ac:dyDescent="0.2">
      <c r="A309" s="39">
        <v>3.07</v>
      </c>
      <c r="B309" s="39">
        <v>9.9099999999999994E-2</v>
      </c>
    </row>
    <row r="310" spans="1:2" x14ac:dyDescent="0.2">
      <c r="A310" s="39">
        <v>3.08</v>
      </c>
      <c r="B310" s="39">
        <v>9.8500000000000004E-2</v>
      </c>
    </row>
    <row r="311" spans="1:2" x14ac:dyDescent="0.2">
      <c r="A311" s="39">
        <v>3.09</v>
      </c>
      <c r="B311" s="39">
        <v>9.7799999999999998E-2</v>
      </c>
    </row>
    <row r="312" spans="1:2" x14ac:dyDescent="0.2">
      <c r="A312" s="39">
        <v>3.1</v>
      </c>
      <c r="B312" s="39">
        <v>9.7199999999999995E-2</v>
      </c>
    </row>
    <row r="313" spans="1:2" x14ac:dyDescent="0.2">
      <c r="A313" s="39">
        <v>3.11</v>
      </c>
      <c r="B313" s="39">
        <v>9.6600000000000005E-2</v>
      </c>
    </row>
    <row r="314" spans="1:2" x14ac:dyDescent="0.2">
      <c r="A314" s="39">
        <v>3.12</v>
      </c>
      <c r="B314" s="39">
        <v>9.6000000000000002E-2</v>
      </c>
    </row>
    <row r="315" spans="1:2" x14ac:dyDescent="0.2">
      <c r="A315" s="39">
        <v>3.13</v>
      </c>
      <c r="B315" s="39">
        <v>9.5399999999999999E-2</v>
      </c>
    </row>
    <row r="316" spans="1:2" x14ac:dyDescent="0.2">
      <c r="A316" s="39">
        <v>3.14</v>
      </c>
      <c r="B316" s="39">
        <v>9.4899999999999998E-2</v>
      </c>
    </row>
    <row r="317" spans="1:2" x14ac:dyDescent="0.2">
      <c r="A317" s="39">
        <v>3.15</v>
      </c>
      <c r="B317" s="39">
        <v>9.4299999999999995E-2</v>
      </c>
    </row>
    <row r="318" spans="1:2" x14ac:dyDescent="0.2">
      <c r="A318" s="39">
        <v>3.16</v>
      </c>
      <c r="B318" s="39">
        <v>9.3700000000000006E-2</v>
      </c>
    </row>
    <row r="319" spans="1:2" x14ac:dyDescent="0.2">
      <c r="A319" s="39">
        <v>3.17</v>
      </c>
      <c r="B319" s="39">
        <v>9.3100000000000002E-2</v>
      </c>
    </row>
    <row r="320" spans="1:2" x14ac:dyDescent="0.2">
      <c r="A320" s="39">
        <v>3.18</v>
      </c>
      <c r="B320" s="39">
        <v>9.2600000000000002E-2</v>
      </c>
    </row>
    <row r="321" spans="1:2" x14ac:dyDescent="0.2">
      <c r="A321" s="39">
        <v>3.19</v>
      </c>
      <c r="B321" s="39">
        <v>9.1999999999999998E-2</v>
      </c>
    </row>
    <row r="322" spans="1:2" x14ac:dyDescent="0.2">
      <c r="A322" s="39">
        <v>3.2</v>
      </c>
      <c r="B322" s="39">
        <v>9.1499999999999998E-2</v>
      </c>
    </row>
    <row r="323" spans="1:2" x14ac:dyDescent="0.2">
      <c r="A323" s="39">
        <v>3.21</v>
      </c>
      <c r="B323" s="39">
        <v>9.0899999999999995E-2</v>
      </c>
    </row>
    <row r="324" spans="1:2" x14ac:dyDescent="0.2">
      <c r="A324" s="39">
        <v>3.22</v>
      </c>
      <c r="B324" s="39">
        <v>9.0399999999999994E-2</v>
      </c>
    </row>
    <row r="325" spans="1:2" x14ac:dyDescent="0.2">
      <c r="A325" s="39">
        <v>3.23</v>
      </c>
      <c r="B325" s="39">
        <v>8.9800000000000005E-2</v>
      </c>
    </row>
    <row r="326" spans="1:2" x14ac:dyDescent="0.2">
      <c r="A326" s="39">
        <v>3.24</v>
      </c>
      <c r="B326" s="39">
        <v>8.9300000000000004E-2</v>
      </c>
    </row>
    <row r="327" spans="1:2" x14ac:dyDescent="0.2">
      <c r="A327" s="39">
        <v>3.25</v>
      </c>
      <c r="B327" s="39">
        <v>8.8800000000000004E-2</v>
      </c>
    </row>
    <row r="328" spans="1:2" x14ac:dyDescent="0.2">
      <c r="A328" s="39">
        <v>3.26</v>
      </c>
      <c r="B328" s="39">
        <v>8.8200000000000001E-2</v>
      </c>
    </row>
    <row r="329" spans="1:2" x14ac:dyDescent="0.2">
      <c r="A329" s="39">
        <v>3.27</v>
      </c>
      <c r="B329" s="39">
        <v>8.77E-2</v>
      </c>
    </row>
    <row r="330" spans="1:2" x14ac:dyDescent="0.2">
      <c r="A330" s="39">
        <v>3.28</v>
      </c>
      <c r="B330" s="39">
        <v>8.72E-2</v>
      </c>
    </row>
    <row r="331" spans="1:2" x14ac:dyDescent="0.2">
      <c r="A331" s="39">
        <v>3.29</v>
      </c>
      <c r="B331" s="39">
        <v>8.6699999999999999E-2</v>
      </c>
    </row>
    <row r="332" spans="1:2" x14ac:dyDescent="0.2">
      <c r="A332" s="39">
        <v>3.3</v>
      </c>
      <c r="B332" s="39">
        <v>8.6199999999999999E-2</v>
      </c>
    </row>
    <row r="333" spans="1:2" x14ac:dyDescent="0.2">
      <c r="A333" s="39">
        <v>3.31</v>
      </c>
      <c r="B333" s="39">
        <v>8.5699999999999998E-2</v>
      </c>
    </row>
    <row r="334" spans="1:2" x14ac:dyDescent="0.2">
      <c r="A334" s="39">
        <v>3.32</v>
      </c>
      <c r="B334" s="39">
        <v>8.5199999999999998E-2</v>
      </c>
    </row>
    <row r="335" spans="1:2" x14ac:dyDescent="0.2">
      <c r="A335" s="39">
        <v>3.33</v>
      </c>
      <c r="B335" s="39">
        <v>8.4699999999999998E-2</v>
      </c>
    </row>
    <row r="336" spans="1:2" x14ac:dyDescent="0.2">
      <c r="A336" s="39">
        <v>3.34</v>
      </c>
      <c r="B336" s="39">
        <v>8.4199999999999997E-2</v>
      </c>
    </row>
    <row r="337" spans="1:2" x14ac:dyDescent="0.2">
      <c r="A337" s="39">
        <v>3.35</v>
      </c>
      <c r="B337" s="39">
        <v>8.3699999999999997E-2</v>
      </c>
    </row>
    <row r="338" spans="1:2" x14ac:dyDescent="0.2">
      <c r="A338" s="39">
        <v>3.36</v>
      </c>
      <c r="B338" s="39">
        <v>8.3199999999999996E-2</v>
      </c>
    </row>
    <row r="339" spans="1:2" x14ac:dyDescent="0.2">
      <c r="A339" s="39">
        <v>3.37</v>
      </c>
      <c r="B339" s="39">
        <v>8.2799999999999999E-2</v>
      </c>
    </row>
    <row r="340" spans="1:2" x14ac:dyDescent="0.2">
      <c r="A340" s="39">
        <v>3.38</v>
      </c>
      <c r="B340" s="39">
        <v>8.2299999999999998E-2</v>
      </c>
    </row>
    <row r="341" spans="1:2" x14ac:dyDescent="0.2">
      <c r="A341" s="39">
        <v>3.39</v>
      </c>
      <c r="B341" s="39">
        <v>8.1799999999999998E-2</v>
      </c>
    </row>
    <row r="342" spans="1:2" x14ac:dyDescent="0.2">
      <c r="A342" s="39">
        <v>3.4</v>
      </c>
      <c r="B342" s="39">
        <v>8.14E-2</v>
      </c>
    </row>
    <row r="343" spans="1:2" x14ac:dyDescent="0.2">
      <c r="A343" s="39">
        <v>3.41</v>
      </c>
      <c r="B343" s="39">
        <v>8.09E-2</v>
      </c>
    </row>
    <row r="344" spans="1:2" x14ac:dyDescent="0.2">
      <c r="A344" s="39">
        <v>3.42</v>
      </c>
      <c r="B344" s="39">
        <v>8.0399999999999999E-2</v>
      </c>
    </row>
    <row r="345" spans="1:2" x14ac:dyDescent="0.2">
      <c r="A345" s="39">
        <v>3.43</v>
      </c>
      <c r="B345" s="39">
        <v>0.08</v>
      </c>
    </row>
    <row r="346" spans="1:2" x14ac:dyDescent="0.2">
      <c r="A346" s="39">
        <v>3.44</v>
      </c>
      <c r="B346" s="39">
        <v>7.9500000000000001E-2</v>
      </c>
    </row>
    <row r="347" spans="1:2" x14ac:dyDescent="0.2">
      <c r="A347" s="39">
        <v>3.45</v>
      </c>
      <c r="B347" s="39">
        <v>7.9100000000000004E-2</v>
      </c>
    </row>
    <row r="348" spans="1:2" x14ac:dyDescent="0.2">
      <c r="A348" s="39">
        <v>3.46</v>
      </c>
      <c r="B348" s="39">
        <v>7.8600000000000003E-2</v>
      </c>
    </row>
    <row r="349" spans="1:2" x14ac:dyDescent="0.2">
      <c r="A349" s="39">
        <v>3.47</v>
      </c>
      <c r="B349" s="39">
        <v>7.8200000000000006E-2</v>
      </c>
    </row>
    <row r="350" spans="1:2" x14ac:dyDescent="0.2">
      <c r="A350" s="39">
        <v>3.48</v>
      </c>
      <c r="B350" s="39">
        <v>7.7799999999999994E-2</v>
      </c>
    </row>
    <row r="351" spans="1:2" x14ac:dyDescent="0.2">
      <c r="A351" s="39">
        <v>3.49</v>
      </c>
      <c r="B351" s="39">
        <v>7.7299999999999994E-2</v>
      </c>
    </row>
  </sheetData>
  <sheetProtection algorithmName="SHA-512" hashValue="oSU5gwycX/9foiLsG/DmyLGnnmF9RueT+2E7wcjgz9df92AQ0coxFHwMCWAopsEJU1/URYdMxofOY4frmm/Agw==" saltValue="Y00sMXjG2Irwt1vF2mL2E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5BDA6-672C-9243-93EB-43A8E022F1FA}">
  <sheetPr codeName="Tabelle4"/>
  <dimension ref="A1:B351"/>
  <sheetViews>
    <sheetView topLeftCell="A293" workbookViewId="0">
      <selection activeCell="H33" sqref="H33"/>
    </sheetView>
  </sheetViews>
  <sheetFormatPr baseColWidth="10" defaultRowHeight="15" x14ac:dyDescent="0.2"/>
  <sheetData>
    <row r="1" spans="1:2" x14ac:dyDescent="0.2">
      <c r="A1" s="42" t="s">
        <v>102</v>
      </c>
      <c r="B1" s="42" t="s">
        <v>103</v>
      </c>
    </row>
    <row r="2" spans="1:2" x14ac:dyDescent="0.2">
      <c r="A2" s="42">
        <v>0</v>
      </c>
      <c r="B2" s="43">
        <v>1</v>
      </c>
    </row>
    <row r="3" spans="1:2" x14ac:dyDescent="0.2">
      <c r="A3" s="42">
        <v>0.01</v>
      </c>
      <c r="B3" s="43">
        <v>1</v>
      </c>
    </row>
    <row r="4" spans="1:2" x14ac:dyDescent="0.2">
      <c r="A4" s="42">
        <v>0.02</v>
      </c>
      <c r="B4" s="43">
        <v>1</v>
      </c>
    </row>
    <row r="5" spans="1:2" x14ac:dyDescent="0.2">
      <c r="A5" s="42">
        <v>0.03</v>
      </c>
      <c r="B5" s="43">
        <v>1</v>
      </c>
    </row>
    <row r="6" spans="1:2" x14ac:dyDescent="0.2">
      <c r="A6" s="42">
        <v>0.04</v>
      </c>
      <c r="B6" s="43">
        <v>1</v>
      </c>
    </row>
    <row r="7" spans="1:2" x14ac:dyDescent="0.2">
      <c r="A7" s="42">
        <v>0.05</v>
      </c>
      <c r="B7" s="43">
        <v>1</v>
      </c>
    </row>
    <row r="8" spans="1:2" x14ac:dyDescent="0.2">
      <c r="A8" s="42">
        <v>0.06</v>
      </c>
      <c r="B8" s="43">
        <v>1</v>
      </c>
    </row>
    <row r="9" spans="1:2" x14ac:dyDescent="0.2">
      <c r="A9" s="42">
        <v>7.0000000000000007E-2</v>
      </c>
      <c r="B9" s="43">
        <v>1</v>
      </c>
    </row>
    <row r="10" spans="1:2" x14ac:dyDescent="0.2">
      <c r="A10" s="42">
        <v>0.08</v>
      </c>
      <c r="B10" s="43">
        <v>1</v>
      </c>
    </row>
    <row r="11" spans="1:2" x14ac:dyDescent="0.2">
      <c r="A11" s="42">
        <v>0.09</v>
      </c>
      <c r="B11" s="43">
        <v>1</v>
      </c>
    </row>
    <row r="12" spans="1:2" x14ac:dyDescent="0.2">
      <c r="A12" s="42">
        <v>0.1</v>
      </c>
      <c r="B12" s="43">
        <v>1</v>
      </c>
    </row>
    <row r="13" spans="1:2" x14ac:dyDescent="0.2">
      <c r="A13" s="42">
        <v>0.11</v>
      </c>
      <c r="B13" s="43">
        <v>1</v>
      </c>
    </row>
    <row r="14" spans="1:2" x14ac:dyDescent="0.2">
      <c r="A14" s="42">
        <v>0.12</v>
      </c>
      <c r="B14" s="43">
        <v>1</v>
      </c>
    </row>
    <row r="15" spans="1:2" x14ac:dyDescent="0.2">
      <c r="A15" s="42">
        <v>0.13</v>
      </c>
      <c r="B15" s="43">
        <v>1</v>
      </c>
    </row>
    <row r="16" spans="1:2" x14ac:dyDescent="0.2">
      <c r="A16" s="42">
        <v>0.14000000000000001</v>
      </c>
      <c r="B16" s="43">
        <v>1</v>
      </c>
    </row>
    <row r="17" spans="1:2" x14ac:dyDescent="0.2">
      <c r="A17" s="42">
        <v>0.15</v>
      </c>
      <c r="B17" s="43">
        <v>1</v>
      </c>
    </row>
    <row r="18" spans="1:2" x14ac:dyDescent="0.2">
      <c r="A18" s="42">
        <v>0.16</v>
      </c>
      <c r="B18" s="43">
        <v>1</v>
      </c>
    </row>
    <row r="19" spans="1:2" x14ac:dyDescent="0.2">
      <c r="A19" s="42">
        <v>0.17</v>
      </c>
      <c r="B19" s="43">
        <v>1</v>
      </c>
    </row>
    <row r="20" spans="1:2" x14ac:dyDescent="0.2">
      <c r="A20" s="42">
        <v>0.18</v>
      </c>
      <c r="B20" s="43">
        <v>1</v>
      </c>
    </row>
    <row r="21" spans="1:2" x14ac:dyDescent="0.2">
      <c r="A21" s="42">
        <v>0.19</v>
      </c>
      <c r="B21" s="43">
        <v>1</v>
      </c>
    </row>
    <row r="22" spans="1:2" x14ac:dyDescent="0.2">
      <c r="A22" s="42">
        <v>0.2</v>
      </c>
      <c r="B22" s="43">
        <v>1</v>
      </c>
    </row>
    <row r="23" spans="1:2" x14ac:dyDescent="0.2">
      <c r="A23" s="42">
        <v>0.21</v>
      </c>
      <c r="B23" s="43">
        <v>0.99650000000000005</v>
      </c>
    </row>
    <row r="24" spans="1:2" x14ac:dyDescent="0.2">
      <c r="A24" s="42">
        <v>0.22</v>
      </c>
      <c r="B24" s="43">
        <v>0.9929</v>
      </c>
    </row>
    <row r="25" spans="1:2" x14ac:dyDescent="0.2">
      <c r="A25" s="42">
        <v>0.23</v>
      </c>
      <c r="B25" s="43">
        <v>0.98939999999999995</v>
      </c>
    </row>
    <row r="26" spans="1:2" x14ac:dyDescent="0.2">
      <c r="A26" s="42">
        <v>0.24</v>
      </c>
      <c r="B26" s="43">
        <v>0.98580000000000001</v>
      </c>
    </row>
    <row r="27" spans="1:2" x14ac:dyDescent="0.2">
      <c r="A27" s="42">
        <v>0.25</v>
      </c>
      <c r="B27" s="43">
        <v>0.98219999999999996</v>
      </c>
    </row>
    <row r="28" spans="1:2" x14ac:dyDescent="0.2">
      <c r="A28" s="42">
        <v>0.26</v>
      </c>
      <c r="B28" s="43">
        <v>0.97860000000000003</v>
      </c>
    </row>
    <row r="29" spans="1:2" x14ac:dyDescent="0.2">
      <c r="A29" s="42">
        <v>0.27</v>
      </c>
      <c r="B29" s="43">
        <v>0.97499999999999998</v>
      </c>
    </row>
    <row r="30" spans="1:2" x14ac:dyDescent="0.2">
      <c r="A30" s="42">
        <v>0.28000000000000003</v>
      </c>
      <c r="B30" s="43">
        <v>0.97140000000000004</v>
      </c>
    </row>
    <row r="31" spans="1:2" x14ac:dyDescent="0.2">
      <c r="A31" s="42">
        <v>0.28999999999999998</v>
      </c>
      <c r="B31" s="43">
        <v>0.96779999999999999</v>
      </c>
    </row>
    <row r="32" spans="1:2" x14ac:dyDescent="0.2">
      <c r="A32" s="42">
        <v>0.3</v>
      </c>
      <c r="B32" s="43">
        <v>0.96409999999999996</v>
      </c>
    </row>
    <row r="33" spans="1:2" x14ac:dyDescent="0.2">
      <c r="A33" s="42">
        <v>0.31</v>
      </c>
      <c r="B33" s="43">
        <v>0.96040000000000003</v>
      </c>
    </row>
    <row r="34" spans="1:2" x14ac:dyDescent="0.2">
      <c r="A34" s="42">
        <v>0.32</v>
      </c>
      <c r="B34" s="43">
        <v>0.95669999999999999</v>
      </c>
    </row>
    <row r="35" spans="1:2" x14ac:dyDescent="0.2">
      <c r="A35" s="42">
        <v>0.33</v>
      </c>
      <c r="B35" s="43">
        <v>0.95299999999999996</v>
      </c>
    </row>
    <row r="36" spans="1:2" x14ac:dyDescent="0.2">
      <c r="A36" s="42">
        <v>0.34</v>
      </c>
      <c r="B36" s="43">
        <v>0.94920000000000004</v>
      </c>
    </row>
    <row r="37" spans="1:2" x14ac:dyDescent="0.2">
      <c r="A37" s="42">
        <v>0.35</v>
      </c>
      <c r="B37" s="43">
        <v>0.94550000000000001</v>
      </c>
    </row>
    <row r="38" spans="1:2" x14ac:dyDescent="0.2">
      <c r="A38" s="42">
        <v>0.36</v>
      </c>
      <c r="B38" s="43">
        <v>0.94169999999999998</v>
      </c>
    </row>
    <row r="39" spans="1:2" x14ac:dyDescent="0.2">
      <c r="A39" s="42">
        <v>0.37</v>
      </c>
      <c r="B39" s="43">
        <v>0.93779999999999997</v>
      </c>
    </row>
    <row r="40" spans="1:2" x14ac:dyDescent="0.2">
      <c r="A40" s="42">
        <v>0.38</v>
      </c>
      <c r="B40" s="43">
        <v>0.93389999999999995</v>
      </c>
    </row>
    <row r="41" spans="1:2" x14ac:dyDescent="0.2">
      <c r="A41" s="42">
        <v>0.39</v>
      </c>
      <c r="B41" s="43">
        <v>0.93</v>
      </c>
    </row>
    <row r="42" spans="1:2" x14ac:dyDescent="0.2">
      <c r="A42" s="42">
        <v>0.4</v>
      </c>
      <c r="B42" s="43">
        <v>0.92610000000000003</v>
      </c>
    </row>
    <row r="43" spans="1:2" x14ac:dyDescent="0.2">
      <c r="A43" s="42">
        <v>0.41</v>
      </c>
      <c r="B43" s="43">
        <v>0.92210000000000003</v>
      </c>
    </row>
    <row r="44" spans="1:2" x14ac:dyDescent="0.2">
      <c r="A44" s="42">
        <v>0.42</v>
      </c>
      <c r="B44" s="43">
        <v>0.91810000000000003</v>
      </c>
    </row>
    <row r="45" spans="1:2" x14ac:dyDescent="0.2">
      <c r="A45" s="42">
        <v>0.43</v>
      </c>
      <c r="B45" s="43">
        <v>0.91400000000000003</v>
      </c>
    </row>
    <row r="46" spans="1:2" x14ac:dyDescent="0.2">
      <c r="A46" s="42">
        <v>0.44</v>
      </c>
      <c r="B46" s="43">
        <v>0.90990000000000004</v>
      </c>
    </row>
    <row r="47" spans="1:2" x14ac:dyDescent="0.2">
      <c r="A47" s="42">
        <v>0.45</v>
      </c>
      <c r="B47" s="43">
        <v>0.90569999999999995</v>
      </c>
    </row>
    <row r="48" spans="1:2" x14ac:dyDescent="0.2">
      <c r="A48" s="42">
        <v>0.46</v>
      </c>
      <c r="B48" s="43">
        <v>0.90149999999999997</v>
      </c>
    </row>
    <row r="49" spans="1:2" x14ac:dyDescent="0.2">
      <c r="A49" s="42">
        <v>0.47</v>
      </c>
      <c r="B49" s="43">
        <v>0.89729999999999999</v>
      </c>
    </row>
    <row r="50" spans="1:2" x14ac:dyDescent="0.2">
      <c r="A50" s="42">
        <v>0.48</v>
      </c>
      <c r="B50" s="43">
        <v>0.89300000000000002</v>
      </c>
    </row>
    <row r="51" spans="1:2" x14ac:dyDescent="0.2">
      <c r="A51" s="42">
        <v>0.49</v>
      </c>
      <c r="B51" s="43">
        <v>0.88859999999999995</v>
      </c>
    </row>
    <row r="52" spans="1:2" x14ac:dyDescent="0.2">
      <c r="A52" s="42">
        <v>0.5</v>
      </c>
      <c r="B52" s="43">
        <v>0.88419999999999999</v>
      </c>
    </row>
    <row r="53" spans="1:2" x14ac:dyDescent="0.2">
      <c r="A53" s="42">
        <v>0.51</v>
      </c>
      <c r="B53" s="43">
        <v>0.87980000000000003</v>
      </c>
    </row>
    <row r="54" spans="1:2" x14ac:dyDescent="0.2">
      <c r="A54" s="42">
        <v>0.52</v>
      </c>
      <c r="B54" s="43">
        <v>0.87519999999999998</v>
      </c>
    </row>
    <row r="55" spans="1:2" x14ac:dyDescent="0.2">
      <c r="A55" s="42">
        <v>0.53</v>
      </c>
      <c r="B55" s="43">
        <v>0.87070000000000003</v>
      </c>
    </row>
    <row r="56" spans="1:2" x14ac:dyDescent="0.2">
      <c r="A56" s="42">
        <v>0.54</v>
      </c>
      <c r="B56" s="43">
        <v>0.86609999999999998</v>
      </c>
    </row>
    <row r="57" spans="1:2" x14ac:dyDescent="0.2">
      <c r="A57" s="42">
        <v>0.55000000000000004</v>
      </c>
      <c r="B57" s="43">
        <v>0.86140000000000005</v>
      </c>
    </row>
    <row r="58" spans="1:2" x14ac:dyDescent="0.2">
      <c r="A58" s="42">
        <v>0.56000000000000005</v>
      </c>
      <c r="B58" s="43">
        <v>0.85660000000000003</v>
      </c>
    </row>
    <row r="59" spans="1:2" x14ac:dyDescent="0.2">
      <c r="A59" s="42">
        <v>0.56999999999999995</v>
      </c>
      <c r="B59" s="43">
        <v>0.8518</v>
      </c>
    </row>
    <row r="60" spans="1:2" x14ac:dyDescent="0.2">
      <c r="A60" s="42">
        <v>0.57999999999999996</v>
      </c>
      <c r="B60" s="43">
        <v>0.84699999999999998</v>
      </c>
    </row>
    <row r="61" spans="1:2" x14ac:dyDescent="0.2">
      <c r="A61" s="42">
        <v>0.59</v>
      </c>
      <c r="B61" s="43">
        <v>0.84199999999999997</v>
      </c>
    </row>
    <row r="62" spans="1:2" x14ac:dyDescent="0.2">
      <c r="A62" s="42">
        <v>0.6</v>
      </c>
      <c r="B62" s="43">
        <v>0.83709999999999996</v>
      </c>
    </row>
    <row r="63" spans="1:2" x14ac:dyDescent="0.2">
      <c r="A63" s="42">
        <v>0.61</v>
      </c>
      <c r="B63" s="43">
        <v>0.83199999999999996</v>
      </c>
    </row>
    <row r="64" spans="1:2" x14ac:dyDescent="0.2">
      <c r="A64" s="42">
        <v>0.62</v>
      </c>
      <c r="B64" s="43">
        <v>0.82689999999999997</v>
      </c>
    </row>
    <row r="65" spans="1:2" x14ac:dyDescent="0.2">
      <c r="A65" s="42">
        <v>0.63</v>
      </c>
      <c r="B65" s="43">
        <v>0.82169999999999999</v>
      </c>
    </row>
    <row r="66" spans="1:2" x14ac:dyDescent="0.2">
      <c r="A66" s="42">
        <v>0.64</v>
      </c>
      <c r="B66" s="43">
        <v>0.8165</v>
      </c>
    </row>
    <row r="67" spans="1:2" x14ac:dyDescent="0.2">
      <c r="A67" s="42">
        <v>0.65</v>
      </c>
      <c r="B67" s="43">
        <v>0.81120000000000003</v>
      </c>
    </row>
    <row r="68" spans="1:2" x14ac:dyDescent="0.2">
      <c r="A68" s="42">
        <v>0.66</v>
      </c>
      <c r="B68" s="43">
        <v>0.80579999999999996</v>
      </c>
    </row>
    <row r="69" spans="1:2" x14ac:dyDescent="0.2">
      <c r="A69" s="42">
        <v>0.67</v>
      </c>
      <c r="B69" s="43">
        <v>0.8004</v>
      </c>
    </row>
    <row r="70" spans="1:2" x14ac:dyDescent="0.2">
      <c r="A70" s="42">
        <v>0.68</v>
      </c>
      <c r="B70" s="43">
        <v>0.79490000000000005</v>
      </c>
    </row>
    <row r="71" spans="1:2" x14ac:dyDescent="0.2">
      <c r="A71" s="42">
        <v>0.69</v>
      </c>
      <c r="B71" s="43">
        <v>0.7893</v>
      </c>
    </row>
    <row r="72" spans="1:2" x14ac:dyDescent="0.2">
      <c r="A72" s="42">
        <v>0.7</v>
      </c>
      <c r="B72" s="43">
        <v>0.78369999999999995</v>
      </c>
    </row>
    <row r="73" spans="1:2" x14ac:dyDescent="0.2">
      <c r="A73" s="42">
        <v>0.71</v>
      </c>
      <c r="B73" s="43">
        <v>0.77800000000000002</v>
      </c>
    </row>
    <row r="74" spans="1:2" x14ac:dyDescent="0.2">
      <c r="A74" s="42">
        <v>0.72</v>
      </c>
      <c r="B74" s="43">
        <v>0.77229999999999999</v>
      </c>
    </row>
    <row r="75" spans="1:2" x14ac:dyDescent="0.2">
      <c r="A75" s="42">
        <v>0.73</v>
      </c>
      <c r="B75" s="43">
        <v>0.76649999999999996</v>
      </c>
    </row>
    <row r="76" spans="1:2" x14ac:dyDescent="0.2">
      <c r="A76" s="42">
        <v>0.74</v>
      </c>
      <c r="B76" s="43">
        <v>0.76060000000000005</v>
      </c>
    </row>
    <row r="77" spans="1:2" x14ac:dyDescent="0.2">
      <c r="A77" s="42">
        <v>0.75</v>
      </c>
      <c r="B77" s="43">
        <v>0.75470000000000004</v>
      </c>
    </row>
    <row r="78" spans="1:2" x14ac:dyDescent="0.2">
      <c r="A78" s="42">
        <v>0.76</v>
      </c>
      <c r="B78" s="43">
        <v>0.74880000000000002</v>
      </c>
    </row>
    <row r="79" spans="1:2" x14ac:dyDescent="0.2">
      <c r="A79" s="42">
        <v>0.77</v>
      </c>
      <c r="B79" s="43">
        <v>0.74280000000000002</v>
      </c>
    </row>
    <row r="80" spans="1:2" x14ac:dyDescent="0.2">
      <c r="A80" s="42">
        <v>0.78</v>
      </c>
      <c r="B80" s="43">
        <v>0.73670000000000002</v>
      </c>
    </row>
    <row r="81" spans="1:2" x14ac:dyDescent="0.2">
      <c r="A81" s="42">
        <v>0.79</v>
      </c>
      <c r="B81" s="43">
        <v>0.73060000000000003</v>
      </c>
    </row>
    <row r="82" spans="1:2" x14ac:dyDescent="0.2">
      <c r="A82" s="42">
        <v>0.8</v>
      </c>
      <c r="B82" s="43">
        <v>0.72450000000000003</v>
      </c>
    </row>
    <row r="83" spans="1:2" x14ac:dyDescent="0.2">
      <c r="A83" s="42">
        <v>0.81</v>
      </c>
      <c r="B83" s="43">
        <v>0.71830000000000005</v>
      </c>
    </row>
    <row r="84" spans="1:2" x14ac:dyDescent="0.2">
      <c r="A84" s="42">
        <v>0.82</v>
      </c>
      <c r="B84" s="43">
        <v>0.71199999999999997</v>
      </c>
    </row>
    <row r="85" spans="1:2" x14ac:dyDescent="0.2">
      <c r="A85" s="42">
        <v>0.83</v>
      </c>
      <c r="B85" s="43">
        <v>0.70579999999999998</v>
      </c>
    </row>
    <row r="86" spans="1:2" x14ac:dyDescent="0.2">
      <c r="A86" s="42">
        <v>0.84</v>
      </c>
      <c r="B86" s="43">
        <v>0.69950000000000001</v>
      </c>
    </row>
    <row r="87" spans="1:2" x14ac:dyDescent="0.2">
      <c r="A87" s="42">
        <v>0.85</v>
      </c>
      <c r="B87" s="43">
        <v>0.69310000000000005</v>
      </c>
    </row>
    <row r="88" spans="1:2" x14ac:dyDescent="0.2">
      <c r="A88" s="42">
        <v>0.86</v>
      </c>
      <c r="B88" s="43">
        <v>0.68679999999999997</v>
      </c>
    </row>
    <row r="89" spans="1:2" x14ac:dyDescent="0.2">
      <c r="A89" s="42">
        <v>0.87</v>
      </c>
      <c r="B89" s="43">
        <v>0.6804</v>
      </c>
    </row>
    <row r="90" spans="1:2" x14ac:dyDescent="0.2">
      <c r="A90" s="42">
        <v>0.88</v>
      </c>
      <c r="B90" s="43">
        <v>0.67400000000000004</v>
      </c>
    </row>
    <row r="91" spans="1:2" x14ac:dyDescent="0.2">
      <c r="A91" s="42">
        <v>0.89</v>
      </c>
      <c r="B91" s="43">
        <v>0.66759999999999997</v>
      </c>
    </row>
    <row r="92" spans="1:2" x14ac:dyDescent="0.2">
      <c r="A92" s="42">
        <v>0.9</v>
      </c>
      <c r="B92" s="43">
        <v>0.66120000000000001</v>
      </c>
    </row>
    <row r="93" spans="1:2" x14ac:dyDescent="0.2">
      <c r="A93" s="42">
        <v>0.91</v>
      </c>
      <c r="B93" s="43">
        <v>0.65469999999999995</v>
      </c>
    </row>
    <row r="94" spans="1:2" x14ac:dyDescent="0.2">
      <c r="A94" s="42">
        <v>0.92</v>
      </c>
      <c r="B94" s="43">
        <v>0.64829999999999999</v>
      </c>
    </row>
    <row r="95" spans="1:2" x14ac:dyDescent="0.2">
      <c r="A95" s="42">
        <v>0.93</v>
      </c>
      <c r="B95" s="43">
        <v>0.64190000000000003</v>
      </c>
    </row>
    <row r="96" spans="1:2" x14ac:dyDescent="0.2">
      <c r="A96" s="42">
        <v>0.94</v>
      </c>
      <c r="B96" s="43">
        <v>0.63539999999999996</v>
      </c>
    </row>
    <row r="97" spans="1:2" x14ac:dyDescent="0.2">
      <c r="A97" s="42">
        <v>0.95</v>
      </c>
      <c r="B97" s="43">
        <v>0.629</v>
      </c>
    </row>
    <row r="98" spans="1:2" x14ac:dyDescent="0.2">
      <c r="A98" s="42">
        <v>0.96</v>
      </c>
      <c r="B98" s="43">
        <v>0.62260000000000004</v>
      </c>
    </row>
    <row r="99" spans="1:2" x14ac:dyDescent="0.2">
      <c r="A99" s="42">
        <v>0.97</v>
      </c>
      <c r="B99" s="43">
        <v>0.61619999999999997</v>
      </c>
    </row>
    <row r="100" spans="1:2" x14ac:dyDescent="0.2">
      <c r="A100" s="42">
        <v>0.98</v>
      </c>
      <c r="B100" s="43">
        <v>0.60980000000000001</v>
      </c>
    </row>
    <row r="101" spans="1:2" x14ac:dyDescent="0.2">
      <c r="A101" s="42">
        <v>0.99</v>
      </c>
      <c r="B101" s="43">
        <v>0.60340000000000005</v>
      </c>
    </row>
    <row r="102" spans="1:2" x14ac:dyDescent="0.2">
      <c r="A102" s="42">
        <v>1</v>
      </c>
      <c r="B102" s="43">
        <v>0.59699999999999998</v>
      </c>
    </row>
    <row r="103" spans="1:2" x14ac:dyDescent="0.2">
      <c r="A103" s="42">
        <v>1.01</v>
      </c>
      <c r="B103" s="43">
        <v>0.5907</v>
      </c>
    </row>
    <row r="104" spans="1:2" x14ac:dyDescent="0.2">
      <c r="A104" s="42">
        <v>1.02</v>
      </c>
      <c r="B104" s="43">
        <v>0.58440000000000003</v>
      </c>
    </row>
    <row r="105" spans="1:2" x14ac:dyDescent="0.2">
      <c r="A105" s="42">
        <v>1.03</v>
      </c>
      <c r="B105" s="43">
        <v>0.57809999999999995</v>
      </c>
    </row>
    <row r="106" spans="1:2" x14ac:dyDescent="0.2">
      <c r="A106" s="42">
        <v>1.04</v>
      </c>
      <c r="B106" s="43">
        <v>0.57189999999999996</v>
      </c>
    </row>
    <row r="107" spans="1:2" x14ac:dyDescent="0.2">
      <c r="A107" s="42">
        <v>1.05</v>
      </c>
      <c r="B107" s="43">
        <v>0.56569999999999998</v>
      </c>
    </row>
    <row r="108" spans="1:2" x14ac:dyDescent="0.2">
      <c r="A108" s="42">
        <v>1.06</v>
      </c>
      <c r="B108" s="43">
        <v>0.5595</v>
      </c>
    </row>
    <row r="109" spans="1:2" x14ac:dyDescent="0.2">
      <c r="A109" s="42">
        <v>1.07</v>
      </c>
      <c r="B109" s="43">
        <v>0.5534</v>
      </c>
    </row>
    <row r="110" spans="1:2" x14ac:dyDescent="0.2">
      <c r="A110" s="42">
        <v>1.08</v>
      </c>
      <c r="B110" s="43">
        <v>0.54730000000000001</v>
      </c>
    </row>
    <row r="111" spans="1:2" x14ac:dyDescent="0.2">
      <c r="A111" s="42">
        <v>1.0900000000000001</v>
      </c>
      <c r="B111" s="43">
        <v>0.54120000000000001</v>
      </c>
    </row>
    <row r="112" spans="1:2" x14ac:dyDescent="0.2">
      <c r="A112" s="42">
        <v>1.1000000000000001</v>
      </c>
      <c r="B112" s="43">
        <v>0.53520000000000001</v>
      </c>
    </row>
    <row r="113" spans="1:2" x14ac:dyDescent="0.2">
      <c r="A113" s="42">
        <v>1.1100000000000001</v>
      </c>
      <c r="B113" s="43">
        <v>0.52929999999999999</v>
      </c>
    </row>
    <row r="114" spans="1:2" x14ac:dyDescent="0.2">
      <c r="A114" s="42">
        <v>1.1200000000000001</v>
      </c>
      <c r="B114" s="43">
        <v>0.52339999999999998</v>
      </c>
    </row>
    <row r="115" spans="1:2" x14ac:dyDescent="0.2">
      <c r="A115" s="42">
        <v>1.1299999999999999</v>
      </c>
      <c r="B115" s="43">
        <v>0.51749999999999996</v>
      </c>
    </row>
    <row r="116" spans="1:2" x14ac:dyDescent="0.2">
      <c r="A116" s="42">
        <v>1.1399999999999999</v>
      </c>
      <c r="B116" s="43">
        <v>0.51170000000000004</v>
      </c>
    </row>
    <row r="117" spans="1:2" x14ac:dyDescent="0.2">
      <c r="A117" s="42">
        <v>1.1499999999999999</v>
      </c>
      <c r="B117" s="43">
        <v>0.50600000000000001</v>
      </c>
    </row>
    <row r="118" spans="1:2" x14ac:dyDescent="0.2">
      <c r="A118" s="42">
        <v>1.1599999999999999</v>
      </c>
      <c r="B118" s="43">
        <v>0.50029999999999997</v>
      </c>
    </row>
    <row r="119" spans="1:2" x14ac:dyDescent="0.2">
      <c r="A119" s="42">
        <v>1.17</v>
      </c>
      <c r="B119" s="43">
        <v>0.49469999999999997</v>
      </c>
    </row>
    <row r="120" spans="1:2" x14ac:dyDescent="0.2">
      <c r="A120" s="42">
        <v>1.18</v>
      </c>
      <c r="B120" s="43">
        <v>0.48909999999999998</v>
      </c>
    </row>
    <row r="121" spans="1:2" x14ac:dyDescent="0.2">
      <c r="A121" s="42">
        <v>1.19</v>
      </c>
      <c r="B121" s="43">
        <v>0.48359999999999997</v>
      </c>
    </row>
    <row r="122" spans="1:2" x14ac:dyDescent="0.2">
      <c r="A122" s="42">
        <v>1.2</v>
      </c>
      <c r="B122" s="43">
        <v>0.47810000000000002</v>
      </c>
    </row>
    <row r="123" spans="1:2" x14ac:dyDescent="0.2">
      <c r="A123" s="42">
        <v>1.21</v>
      </c>
      <c r="B123" s="43">
        <v>0.47270000000000001</v>
      </c>
    </row>
    <row r="124" spans="1:2" x14ac:dyDescent="0.2">
      <c r="A124" s="42">
        <v>1.22</v>
      </c>
      <c r="B124" s="43">
        <v>0.46739999999999998</v>
      </c>
    </row>
    <row r="125" spans="1:2" x14ac:dyDescent="0.2">
      <c r="A125" s="42">
        <v>1.23</v>
      </c>
      <c r="B125" s="43">
        <v>0.46210000000000001</v>
      </c>
    </row>
    <row r="126" spans="1:2" x14ac:dyDescent="0.2">
      <c r="A126" s="42">
        <v>1.24</v>
      </c>
      <c r="B126" s="43">
        <v>0.45689999999999997</v>
      </c>
    </row>
    <row r="127" spans="1:2" x14ac:dyDescent="0.2">
      <c r="A127" s="42">
        <v>1.25</v>
      </c>
      <c r="B127" s="43">
        <v>0.45169999999999999</v>
      </c>
    </row>
    <row r="128" spans="1:2" x14ac:dyDescent="0.2">
      <c r="A128" s="42">
        <v>1.26</v>
      </c>
      <c r="B128" s="43">
        <v>0.4466</v>
      </c>
    </row>
    <row r="129" spans="1:2" x14ac:dyDescent="0.2">
      <c r="A129" s="42">
        <v>1.27</v>
      </c>
      <c r="B129" s="43">
        <v>0.44159999999999999</v>
      </c>
    </row>
    <row r="130" spans="1:2" x14ac:dyDescent="0.2">
      <c r="A130" s="42">
        <v>1.28</v>
      </c>
      <c r="B130" s="43">
        <v>0.43659999999999999</v>
      </c>
    </row>
    <row r="131" spans="1:2" x14ac:dyDescent="0.2">
      <c r="A131" s="42">
        <v>1.29</v>
      </c>
      <c r="B131" s="43">
        <v>0.43169999999999997</v>
      </c>
    </row>
    <row r="132" spans="1:2" x14ac:dyDescent="0.2">
      <c r="A132" s="42">
        <v>1.3</v>
      </c>
      <c r="B132" s="43">
        <v>0.4269</v>
      </c>
    </row>
    <row r="133" spans="1:2" x14ac:dyDescent="0.2">
      <c r="A133" s="42">
        <v>1.31</v>
      </c>
      <c r="B133" s="43">
        <v>0.42209999999999998</v>
      </c>
    </row>
    <row r="134" spans="1:2" x14ac:dyDescent="0.2">
      <c r="A134" s="42">
        <v>1.32</v>
      </c>
      <c r="B134" s="43">
        <v>0.41739999999999999</v>
      </c>
    </row>
    <row r="135" spans="1:2" x14ac:dyDescent="0.2">
      <c r="A135" s="42">
        <v>1.33</v>
      </c>
      <c r="B135" s="43">
        <v>0.41270000000000001</v>
      </c>
    </row>
    <row r="136" spans="1:2" x14ac:dyDescent="0.2">
      <c r="A136" s="42">
        <v>1.34</v>
      </c>
      <c r="B136" s="43">
        <v>0.40810000000000002</v>
      </c>
    </row>
    <row r="137" spans="1:2" x14ac:dyDescent="0.2">
      <c r="A137" s="42">
        <v>1.35</v>
      </c>
      <c r="B137" s="43">
        <v>0.40350000000000003</v>
      </c>
    </row>
    <row r="138" spans="1:2" x14ac:dyDescent="0.2">
      <c r="A138" s="42">
        <v>1.36</v>
      </c>
      <c r="B138" s="43">
        <v>0.39910000000000001</v>
      </c>
    </row>
    <row r="139" spans="1:2" x14ac:dyDescent="0.2">
      <c r="A139" s="42">
        <v>1.37</v>
      </c>
      <c r="B139" s="43">
        <v>0.39460000000000001</v>
      </c>
    </row>
    <row r="140" spans="1:2" x14ac:dyDescent="0.2">
      <c r="A140" s="42">
        <v>1.38</v>
      </c>
      <c r="B140" s="43">
        <v>0.39029999999999998</v>
      </c>
    </row>
    <row r="141" spans="1:2" x14ac:dyDescent="0.2">
      <c r="A141" s="42">
        <v>1.39</v>
      </c>
      <c r="B141" s="43">
        <v>0.38600000000000001</v>
      </c>
    </row>
    <row r="142" spans="1:2" x14ac:dyDescent="0.2">
      <c r="A142" s="42">
        <v>1.4</v>
      </c>
      <c r="B142" s="43">
        <v>0.38169999999999998</v>
      </c>
    </row>
    <row r="143" spans="1:2" x14ac:dyDescent="0.2">
      <c r="A143" s="42">
        <v>1.41</v>
      </c>
      <c r="B143" s="43">
        <v>0.3775</v>
      </c>
    </row>
    <row r="144" spans="1:2" x14ac:dyDescent="0.2">
      <c r="A144" s="42">
        <v>1.42</v>
      </c>
      <c r="B144" s="43">
        <v>0.37340000000000001</v>
      </c>
    </row>
    <row r="145" spans="1:2" x14ac:dyDescent="0.2">
      <c r="A145" s="42">
        <v>1.43</v>
      </c>
      <c r="B145" s="43">
        <v>0.36930000000000002</v>
      </c>
    </row>
    <row r="146" spans="1:2" x14ac:dyDescent="0.2">
      <c r="A146" s="42">
        <v>1.44</v>
      </c>
      <c r="B146" s="43">
        <v>0.36530000000000001</v>
      </c>
    </row>
    <row r="147" spans="1:2" x14ac:dyDescent="0.2">
      <c r="A147" s="42">
        <v>1.45</v>
      </c>
      <c r="B147" s="43">
        <v>0.36130000000000001</v>
      </c>
    </row>
    <row r="148" spans="1:2" x14ac:dyDescent="0.2">
      <c r="A148" s="42">
        <v>1.46</v>
      </c>
      <c r="B148" s="43">
        <v>0.3574</v>
      </c>
    </row>
    <row r="149" spans="1:2" x14ac:dyDescent="0.2">
      <c r="A149" s="42">
        <v>1.47</v>
      </c>
      <c r="B149" s="43">
        <v>0.35349999999999998</v>
      </c>
    </row>
    <row r="150" spans="1:2" x14ac:dyDescent="0.2">
      <c r="A150" s="42">
        <v>1.48</v>
      </c>
      <c r="B150" s="43">
        <v>0.34970000000000001</v>
      </c>
    </row>
    <row r="151" spans="1:2" x14ac:dyDescent="0.2">
      <c r="A151" s="42">
        <v>1.49</v>
      </c>
      <c r="B151" s="43">
        <v>0.34589999999999999</v>
      </c>
    </row>
    <row r="152" spans="1:2" x14ac:dyDescent="0.2">
      <c r="A152" s="42">
        <v>1.5</v>
      </c>
      <c r="B152" s="43">
        <v>0.3422</v>
      </c>
    </row>
    <row r="153" spans="1:2" x14ac:dyDescent="0.2">
      <c r="A153" s="42">
        <v>1.51</v>
      </c>
      <c r="B153" s="43">
        <v>0.33860000000000001</v>
      </c>
    </row>
    <row r="154" spans="1:2" x14ac:dyDescent="0.2">
      <c r="A154" s="42">
        <v>1.52</v>
      </c>
      <c r="B154" s="43">
        <v>0.33500000000000002</v>
      </c>
    </row>
    <row r="155" spans="1:2" x14ac:dyDescent="0.2">
      <c r="A155" s="42">
        <v>1.53</v>
      </c>
      <c r="B155" s="43">
        <v>0.33139999999999997</v>
      </c>
    </row>
    <row r="156" spans="1:2" x14ac:dyDescent="0.2">
      <c r="A156" s="42">
        <v>1.54</v>
      </c>
      <c r="B156" s="43">
        <v>0.32790000000000002</v>
      </c>
    </row>
    <row r="157" spans="1:2" x14ac:dyDescent="0.2">
      <c r="A157" s="42">
        <v>1.55</v>
      </c>
      <c r="B157" s="43">
        <v>0.32450000000000001</v>
      </c>
    </row>
    <row r="158" spans="1:2" x14ac:dyDescent="0.2">
      <c r="A158" s="42">
        <v>1.56</v>
      </c>
      <c r="B158" s="43">
        <v>0.3211</v>
      </c>
    </row>
    <row r="159" spans="1:2" x14ac:dyDescent="0.2">
      <c r="A159" s="42">
        <v>1.57</v>
      </c>
      <c r="B159" s="43">
        <v>0.31769999999999998</v>
      </c>
    </row>
    <row r="160" spans="1:2" x14ac:dyDescent="0.2">
      <c r="A160" s="42">
        <v>1.58</v>
      </c>
      <c r="B160" s="43">
        <v>0.31440000000000001</v>
      </c>
    </row>
    <row r="161" spans="1:2" x14ac:dyDescent="0.2">
      <c r="A161" s="42">
        <v>1.59</v>
      </c>
      <c r="B161" s="43">
        <v>0.31109999999999999</v>
      </c>
    </row>
    <row r="162" spans="1:2" x14ac:dyDescent="0.2">
      <c r="A162" s="42">
        <v>1.6</v>
      </c>
      <c r="B162" s="43">
        <v>0.30790000000000001</v>
      </c>
    </row>
    <row r="163" spans="1:2" x14ac:dyDescent="0.2">
      <c r="A163" s="42">
        <v>1.61</v>
      </c>
      <c r="B163" s="43">
        <v>0.30470000000000003</v>
      </c>
    </row>
    <row r="164" spans="1:2" x14ac:dyDescent="0.2">
      <c r="A164" s="42">
        <v>1.62</v>
      </c>
      <c r="B164" s="43">
        <v>0.30159999999999998</v>
      </c>
    </row>
    <row r="165" spans="1:2" x14ac:dyDescent="0.2">
      <c r="A165" s="42">
        <v>1.63</v>
      </c>
      <c r="B165" s="43">
        <v>0.29849999999999999</v>
      </c>
    </row>
    <row r="166" spans="1:2" x14ac:dyDescent="0.2">
      <c r="A166" s="42">
        <v>1.64</v>
      </c>
      <c r="B166" s="43">
        <v>0.29549999999999998</v>
      </c>
    </row>
    <row r="167" spans="1:2" x14ac:dyDescent="0.2">
      <c r="A167" s="42">
        <v>1.65</v>
      </c>
      <c r="B167" s="43">
        <v>0.29249999999999998</v>
      </c>
    </row>
    <row r="168" spans="1:2" x14ac:dyDescent="0.2">
      <c r="A168" s="42">
        <v>1.66</v>
      </c>
      <c r="B168" s="43">
        <v>0.28949999999999998</v>
      </c>
    </row>
    <row r="169" spans="1:2" x14ac:dyDescent="0.2">
      <c r="A169" s="42">
        <v>1.67</v>
      </c>
      <c r="B169" s="43">
        <v>0.28660000000000002</v>
      </c>
    </row>
    <row r="170" spans="1:2" x14ac:dyDescent="0.2">
      <c r="A170" s="42">
        <v>1.68</v>
      </c>
      <c r="B170" s="43">
        <v>0.28370000000000001</v>
      </c>
    </row>
    <row r="171" spans="1:2" x14ac:dyDescent="0.2">
      <c r="A171" s="42">
        <v>1.69</v>
      </c>
      <c r="B171" s="43">
        <v>0.28089999999999998</v>
      </c>
    </row>
    <row r="172" spans="1:2" x14ac:dyDescent="0.2">
      <c r="A172" s="42">
        <v>1.7</v>
      </c>
      <c r="B172" s="43">
        <v>0.27810000000000001</v>
      </c>
    </row>
    <row r="173" spans="1:2" x14ac:dyDescent="0.2">
      <c r="A173" s="42">
        <v>1.71</v>
      </c>
      <c r="B173" s="43">
        <v>0.27529999999999999</v>
      </c>
    </row>
    <row r="174" spans="1:2" x14ac:dyDescent="0.2">
      <c r="A174" s="42">
        <v>1.72</v>
      </c>
      <c r="B174" s="43">
        <v>0.27260000000000001</v>
      </c>
    </row>
    <row r="175" spans="1:2" x14ac:dyDescent="0.2">
      <c r="A175" s="42">
        <v>1.73</v>
      </c>
      <c r="B175" s="43">
        <v>0.26989999999999997</v>
      </c>
    </row>
    <row r="176" spans="1:2" x14ac:dyDescent="0.2">
      <c r="A176" s="42">
        <v>1.74</v>
      </c>
      <c r="B176" s="43">
        <v>0.26719999999999999</v>
      </c>
    </row>
    <row r="177" spans="1:2" x14ac:dyDescent="0.2">
      <c r="A177" s="42">
        <v>1.75</v>
      </c>
      <c r="B177" s="43">
        <v>0.2646</v>
      </c>
    </row>
    <row r="178" spans="1:2" x14ac:dyDescent="0.2">
      <c r="A178" s="42">
        <v>1.76</v>
      </c>
      <c r="B178" s="43">
        <v>0.26200000000000001</v>
      </c>
    </row>
    <row r="179" spans="1:2" x14ac:dyDescent="0.2">
      <c r="A179" s="42">
        <v>1.77</v>
      </c>
      <c r="B179" s="43">
        <v>0.25950000000000001</v>
      </c>
    </row>
    <row r="180" spans="1:2" x14ac:dyDescent="0.2">
      <c r="A180" s="42">
        <v>1.78</v>
      </c>
      <c r="B180" s="43">
        <v>0.25700000000000001</v>
      </c>
    </row>
    <row r="181" spans="1:2" x14ac:dyDescent="0.2">
      <c r="A181" s="42">
        <v>1.79</v>
      </c>
      <c r="B181" s="43">
        <v>0.2545</v>
      </c>
    </row>
    <row r="182" spans="1:2" x14ac:dyDescent="0.2">
      <c r="A182" s="42">
        <v>1.8</v>
      </c>
      <c r="B182" s="43">
        <v>0.25209999999999999</v>
      </c>
    </row>
    <row r="183" spans="1:2" x14ac:dyDescent="0.2">
      <c r="A183" s="42">
        <v>1.81</v>
      </c>
      <c r="B183" s="43">
        <v>0.24959999999999999</v>
      </c>
    </row>
    <row r="184" spans="1:2" x14ac:dyDescent="0.2">
      <c r="A184" s="42">
        <v>1.82</v>
      </c>
      <c r="B184" s="43">
        <v>0.24729999999999999</v>
      </c>
    </row>
    <row r="185" spans="1:2" x14ac:dyDescent="0.2">
      <c r="A185" s="42">
        <v>1.83</v>
      </c>
      <c r="B185" s="43">
        <v>0.24490000000000001</v>
      </c>
    </row>
    <row r="186" spans="1:2" x14ac:dyDescent="0.2">
      <c r="A186" s="42">
        <v>1.84</v>
      </c>
      <c r="B186" s="43">
        <v>0.24260000000000001</v>
      </c>
    </row>
    <row r="187" spans="1:2" x14ac:dyDescent="0.2">
      <c r="A187" s="42">
        <v>1.85</v>
      </c>
      <c r="B187" s="43">
        <v>0.24030000000000001</v>
      </c>
    </row>
    <row r="188" spans="1:2" x14ac:dyDescent="0.2">
      <c r="A188" s="42">
        <v>1.86</v>
      </c>
      <c r="B188" s="43">
        <v>0.23799999999999999</v>
      </c>
    </row>
    <row r="189" spans="1:2" x14ac:dyDescent="0.2">
      <c r="A189" s="42">
        <v>1.87</v>
      </c>
      <c r="B189" s="43">
        <v>0.23580000000000001</v>
      </c>
    </row>
    <row r="190" spans="1:2" x14ac:dyDescent="0.2">
      <c r="A190" s="42">
        <v>1.88</v>
      </c>
      <c r="B190" s="43">
        <v>0.23350000000000001</v>
      </c>
    </row>
    <row r="191" spans="1:2" x14ac:dyDescent="0.2">
      <c r="A191" s="42">
        <v>1.89</v>
      </c>
      <c r="B191" s="43">
        <v>0.23150000000000001</v>
      </c>
    </row>
    <row r="192" spans="1:2" x14ac:dyDescent="0.2">
      <c r="A192" s="42">
        <v>1.9</v>
      </c>
      <c r="B192" s="43">
        <v>0.22939999999999999</v>
      </c>
    </row>
    <row r="193" spans="1:2" x14ac:dyDescent="0.2">
      <c r="A193" s="42">
        <v>1.91</v>
      </c>
      <c r="B193" s="43">
        <v>0.22720000000000001</v>
      </c>
    </row>
    <row r="194" spans="1:2" x14ac:dyDescent="0.2">
      <c r="A194" s="42">
        <v>1.92</v>
      </c>
      <c r="B194" s="43">
        <v>0.22520000000000001</v>
      </c>
    </row>
    <row r="195" spans="1:2" x14ac:dyDescent="0.2">
      <c r="A195" s="42">
        <v>1.93</v>
      </c>
      <c r="B195" s="43">
        <v>0.22309999999999999</v>
      </c>
    </row>
    <row r="196" spans="1:2" x14ac:dyDescent="0.2">
      <c r="A196" s="42">
        <v>1.94</v>
      </c>
      <c r="B196" s="43">
        <v>0.22109999999999999</v>
      </c>
    </row>
    <row r="197" spans="1:2" x14ac:dyDescent="0.2">
      <c r="A197" s="42">
        <v>1.95</v>
      </c>
      <c r="B197" s="43">
        <v>0.21909999999999999</v>
      </c>
    </row>
    <row r="198" spans="1:2" x14ac:dyDescent="0.2">
      <c r="A198" s="42">
        <v>1.96</v>
      </c>
      <c r="B198" s="43">
        <v>0.21709999999999999</v>
      </c>
    </row>
    <row r="199" spans="1:2" x14ac:dyDescent="0.2">
      <c r="A199" s="42">
        <v>1.97</v>
      </c>
      <c r="B199" s="43">
        <v>0.2152</v>
      </c>
    </row>
    <row r="200" spans="1:2" x14ac:dyDescent="0.2">
      <c r="A200" s="42">
        <v>1.98</v>
      </c>
      <c r="B200" s="43">
        <v>0.2132</v>
      </c>
    </row>
    <row r="201" spans="1:2" x14ac:dyDescent="0.2">
      <c r="A201" s="42">
        <v>1.99</v>
      </c>
      <c r="B201" s="43">
        <v>0.21129999999999999</v>
      </c>
    </row>
    <row r="202" spans="1:2" x14ac:dyDescent="0.2">
      <c r="A202" s="42">
        <v>2</v>
      </c>
      <c r="B202" s="43">
        <v>0.20949999999999999</v>
      </c>
    </row>
    <row r="203" spans="1:2" x14ac:dyDescent="0.2">
      <c r="A203" s="42">
        <v>2.0099999999999998</v>
      </c>
      <c r="B203" s="43">
        <v>0.20760000000000001</v>
      </c>
    </row>
    <row r="204" spans="1:2" x14ac:dyDescent="0.2">
      <c r="A204" s="42">
        <v>2.02</v>
      </c>
      <c r="B204" s="43">
        <v>0.20580000000000001</v>
      </c>
    </row>
    <row r="205" spans="1:2" x14ac:dyDescent="0.2">
      <c r="A205" s="42">
        <v>2.0299999999999998</v>
      </c>
      <c r="B205" s="43">
        <v>0.20399999999999999</v>
      </c>
    </row>
    <row r="206" spans="1:2" x14ac:dyDescent="0.2">
      <c r="A206" s="42">
        <v>2.04</v>
      </c>
      <c r="B206" s="43">
        <v>0.20219999999999999</v>
      </c>
    </row>
    <row r="207" spans="1:2" x14ac:dyDescent="0.2">
      <c r="A207" s="42">
        <v>2.0499999999999998</v>
      </c>
      <c r="B207" s="43">
        <v>0.20039999999999999</v>
      </c>
    </row>
    <row r="208" spans="1:2" x14ac:dyDescent="0.2">
      <c r="A208" s="42">
        <v>2.06</v>
      </c>
      <c r="B208" s="43">
        <v>0.19869999999999999</v>
      </c>
    </row>
    <row r="209" spans="1:2" x14ac:dyDescent="0.2">
      <c r="A209" s="42">
        <v>2.0699999999999998</v>
      </c>
      <c r="B209" s="43">
        <v>0.19700000000000001</v>
      </c>
    </row>
    <row r="210" spans="1:2" x14ac:dyDescent="0.2">
      <c r="A210" s="42">
        <v>2.08</v>
      </c>
      <c r="B210" s="43">
        <v>0.1953</v>
      </c>
    </row>
    <row r="211" spans="1:2" x14ac:dyDescent="0.2">
      <c r="A211" s="42">
        <v>2.09</v>
      </c>
      <c r="B211" s="43">
        <v>0.19359999999999999</v>
      </c>
    </row>
    <row r="212" spans="1:2" x14ac:dyDescent="0.2">
      <c r="A212" s="42">
        <v>2.1</v>
      </c>
      <c r="B212" s="43">
        <v>0.192</v>
      </c>
    </row>
    <row r="213" spans="1:2" x14ac:dyDescent="0.2">
      <c r="A213" s="42">
        <v>2.11</v>
      </c>
      <c r="B213" s="43">
        <v>0.1903</v>
      </c>
    </row>
    <row r="214" spans="1:2" x14ac:dyDescent="0.2">
      <c r="A214" s="42">
        <v>2.12</v>
      </c>
      <c r="B214" s="43">
        <v>0.18870000000000001</v>
      </c>
    </row>
    <row r="215" spans="1:2" x14ac:dyDescent="0.2">
      <c r="A215" s="42">
        <v>2.13</v>
      </c>
      <c r="B215" s="43">
        <v>0.18709999999999999</v>
      </c>
    </row>
    <row r="216" spans="1:2" x14ac:dyDescent="0.2">
      <c r="A216" s="42">
        <v>2.14</v>
      </c>
      <c r="B216" s="43">
        <v>0.1855</v>
      </c>
    </row>
    <row r="217" spans="1:2" x14ac:dyDescent="0.2">
      <c r="A217" s="42">
        <v>2.15</v>
      </c>
      <c r="B217" s="43">
        <v>0.184</v>
      </c>
    </row>
    <row r="218" spans="1:2" x14ac:dyDescent="0.2">
      <c r="A218" s="42">
        <v>2.16</v>
      </c>
      <c r="B218" s="43">
        <v>0.1825</v>
      </c>
    </row>
    <row r="219" spans="1:2" x14ac:dyDescent="0.2">
      <c r="A219" s="42">
        <v>2.17</v>
      </c>
      <c r="B219" s="43">
        <v>0.18090000000000001</v>
      </c>
    </row>
    <row r="220" spans="1:2" x14ac:dyDescent="0.2">
      <c r="A220" s="42">
        <v>2.1800000000000002</v>
      </c>
      <c r="B220" s="43">
        <v>0.1794</v>
      </c>
    </row>
    <row r="221" spans="1:2" x14ac:dyDescent="0.2">
      <c r="A221" s="42">
        <v>2.19</v>
      </c>
      <c r="B221" s="43">
        <v>0.17799999999999999</v>
      </c>
    </row>
    <row r="222" spans="1:2" x14ac:dyDescent="0.2">
      <c r="A222" s="42">
        <v>2.2000000000000002</v>
      </c>
      <c r="B222" s="43">
        <v>0.17649999999999999</v>
      </c>
    </row>
    <row r="223" spans="1:2" x14ac:dyDescent="0.2">
      <c r="A223" s="42">
        <v>2.21</v>
      </c>
      <c r="B223" s="43">
        <v>0.17510000000000001</v>
      </c>
    </row>
    <row r="224" spans="1:2" x14ac:dyDescent="0.2">
      <c r="A224" s="42">
        <v>2.2200000000000002</v>
      </c>
      <c r="B224" s="43">
        <v>0.1736</v>
      </c>
    </row>
    <row r="225" spans="1:2" x14ac:dyDescent="0.2">
      <c r="A225" s="42">
        <v>2.23</v>
      </c>
      <c r="B225" s="43">
        <v>0.17219999999999999</v>
      </c>
    </row>
    <row r="226" spans="1:2" x14ac:dyDescent="0.2">
      <c r="A226" s="42">
        <v>2.2400000000000002</v>
      </c>
      <c r="B226" s="43">
        <v>0.17080000000000001</v>
      </c>
    </row>
    <row r="227" spans="1:2" x14ac:dyDescent="0.2">
      <c r="A227" s="42">
        <v>2.25</v>
      </c>
      <c r="B227" s="43">
        <v>0.1694</v>
      </c>
    </row>
    <row r="228" spans="1:2" x14ac:dyDescent="0.2">
      <c r="A228" s="42">
        <v>2.2599999999999998</v>
      </c>
      <c r="B228" s="43">
        <v>0.1681</v>
      </c>
    </row>
    <row r="229" spans="1:2" x14ac:dyDescent="0.2">
      <c r="A229" s="42">
        <v>2.27</v>
      </c>
      <c r="B229" s="43">
        <v>0.16669999999999999</v>
      </c>
    </row>
    <row r="230" spans="1:2" x14ac:dyDescent="0.2">
      <c r="A230" s="42">
        <v>2.2799999999999998</v>
      </c>
      <c r="B230" s="43">
        <v>0.16539999999999999</v>
      </c>
    </row>
    <row r="231" spans="1:2" x14ac:dyDescent="0.2">
      <c r="A231" s="42">
        <v>2.29</v>
      </c>
      <c r="B231" s="43">
        <v>0.1641</v>
      </c>
    </row>
    <row r="232" spans="1:2" x14ac:dyDescent="0.2">
      <c r="A232" s="42">
        <v>2.2999999999999998</v>
      </c>
      <c r="B232" s="43">
        <v>0.1628</v>
      </c>
    </row>
    <row r="233" spans="1:2" x14ac:dyDescent="0.2">
      <c r="A233" s="42">
        <v>2.31</v>
      </c>
      <c r="B233" s="43">
        <v>0.1615</v>
      </c>
    </row>
    <row r="234" spans="1:2" x14ac:dyDescent="0.2">
      <c r="A234" s="42">
        <v>2.3199999999999998</v>
      </c>
      <c r="B234" s="43">
        <v>0.16020000000000001</v>
      </c>
    </row>
    <row r="235" spans="1:2" x14ac:dyDescent="0.2">
      <c r="A235" s="42">
        <v>2.33</v>
      </c>
      <c r="B235" s="43">
        <v>0.159</v>
      </c>
    </row>
    <row r="236" spans="1:2" x14ac:dyDescent="0.2">
      <c r="A236" s="42">
        <v>2.34</v>
      </c>
      <c r="B236" s="43">
        <v>0.15770000000000001</v>
      </c>
    </row>
    <row r="237" spans="1:2" x14ac:dyDescent="0.2">
      <c r="A237" s="42">
        <v>2.35</v>
      </c>
      <c r="B237" s="43">
        <v>0.1565</v>
      </c>
    </row>
    <row r="238" spans="1:2" x14ac:dyDescent="0.2">
      <c r="A238" s="42">
        <v>2.36</v>
      </c>
      <c r="B238" s="43">
        <v>0.15529999999999999</v>
      </c>
    </row>
    <row r="239" spans="1:2" x14ac:dyDescent="0.2">
      <c r="A239" s="42">
        <v>2.37</v>
      </c>
      <c r="B239" s="43">
        <v>0.15409999999999999</v>
      </c>
    </row>
    <row r="240" spans="1:2" x14ac:dyDescent="0.2">
      <c r="A240" s="42">
        <v>2.38</v>
      </c>
      <c r="B240" s="43">
        <v>0.153</v>
      </c>
    </row>
    <row r="241" spans="1:2" x14ac:dyDescent="0.2">
      <c r="A241" s="42">
        <v>2.39</v>
      </c>
      <c r="B241" s="43">
        <v>0.15179999999999999</v>
      </c>
    </row>
    <row r="242" spans="1:2" x14ac:dyDescent="0.2">
      <c r="A242" s="42">
        <v>2.4</v>
      </c>
      <c r="B242" s="43">
        <v>0.15060000000000001</v>
      </c>
    </row>
    <row r="243" spans="1:2" x14ac:dyDescent="0.2">
      <c r="A243" s="42">
        <v>2.41</v>
      </c>
      <c r="B243" s="43">
        <v>0.14940000000000001</v>
      </c>
    </row>
    <row r="244" spans="1:2" x14ac:dyDescent="0.2">
      <c r="A244" s="42">
        <v>2.42</v>
      </c>
      <c r="B244" s="43">
        <v>0.14829999999999999</v>
      </c>
    </row>
    <row r="245" spans="1:2" x14ac:dyDescent="0.2">
      <c r="A245" s="42">
        <v>2.4300000000000002</v>
      </c>
      <c r="B245" s="43">
        <v>0.1472</v>
      </c>
    </row>
    <row r="246" spans="1:2" x14ac:dyDescent="0.2">
      <c r="A246" s="42">
        <v>2.44</v>
      </c>
      <c r="B246" s="43">
        <v>0.14610000000000001</v>
      </c>
    </row>
    <row r="247" spans="1:2" x14ac:dyDescent="0.2">
      <c r="A247" s="42">
        <v>2.4500000000000002</v>
      </c>
      <c r="B247" s="43">
        <v>0.14499999999999999</v>
      </c>
    </row>
    <row r="248" spans="1:2" x14ac:dyDescent="0.2">
      <c r="A248" s="42">
        <v>2.46</v>
      </c>
      <c r="B248" s="43">
        <v>0.1439</v>
      </c>
    </row>
    <row r="249" spans="1:2" x14ac:dyDescent="0.2">
      <c r="A249" s="42">
        <v>2.4700000000000002</v>
      </c>
      <c r="B249" s="43">
        <v>0.14280000000000001</v>
      </c>
    </row>
    <row r="250" spans="1:2" x14ac:dyDescent="0.2">
      <c r="A250" s="42">
        <v>2.48</v>
      </c>
      <c r="B250" s="43">
        <v>0.14180000000000001</v>
      </c>
    </row>
    <row r="251" spans="1:2" x14ac:dyDescent="0.2">
      <c r="A251" s="42">
        <v>2.4900000000000002</v>
      </c>
      <c r="B251" s="43">
        <v>0.14069999999999999</v>
      </c>
    </row>
    <row r="252" spans="1:2" x14ac:dyDescent="0.2">
      <c r="A252" s="42">
        <v>2.5</v>
      </c>
      <c r="B252" s="43">
        <v>0.13969999999999999</v>
      </c>
    </row>
    <row r="253" spans="1:2" x14ac:dyDescent="0.2">
      <c r="A253" s="42">
        <v>2.5099999999999998</v>
      </c>
      <c r="B253" s="43">
        <v>0.13869999999999999</v>
      </c>
    </row>
    <row r="254" spans="1:2" x14ac:dyDescent="0.2">
      <c r="A254" s="42">
        <v>2.52</v>
      </c>
      <c r="B254" s="43">
        <v>0.1376</v>
      </c>
    </row>
    <row r="255" spans="1:2" x14ac:dyDescent="0.2">
      <c r="A255" s="42">
        <v>2.5299999999999998</v>
      </c>
      <c r="B255" s="43">
        <v>0.1366</v>
      </c>
    </row>
    <row r="256" spans="1:2" x14ac:dyDescent="0.2">
      <c r="A256" s="42">
        <v>2.54</v>
      </c>
      <c r="B256" s="43">
        <v>0.1356</v>
      </c>
    </row>
    <row r="257" spans="1:2" x14ac:dyDescent="0.2">
      <c r="A257" s="42">
        <v>2.5499999999999998</v>
      </c>
      <c r="B257" s="43">
        <v>0.13469999999999999</v>
      </c>
    </row>
    <row r="258" spans="1:2" x14ac:dyDescent="0.2">
      <c r="A258" s="42">
        <v>2.56</v>
      </c>
      <c r="B258" s="43">
        <v>0.13370000000000001</v>
      </c>
    </row>
    <row r="259" spans="1:2" x14ac:dyDescent="0.2">
      <c r="A259" s="42">
        <v>2.57</v>
      </c>
      <c r="B259" s="43">
        <v>0.13270000000000001</v>
      </c>
    </row>
    <row r="260" spans="1:2" x14ac:dyDescent="0.2">
      <c r="A260" s="42">
        <v>2.58</v>
      </c>
      <c r="B260" s="43">
        <v>0.1318</v>
      </c>
    </row>
    <row r="261" spans="1:2" x14ac:dyDescent="0.2">
      <c r="A261" s="42">
        <v>2.59</v>
      </c>
      <c r="B261" s="43">
        <v>0.1308</v>
      </c>
    </row>
    <row r="262" spans="1:2" x14ac:dyDescent="0.2">
      <c r="A262" s="42">
        <v>2.6</v>
      </c>
      <c r="B262" s="43">
        <v>0.12989999999999999</v>
      </c>
    </row>
    <row r="263" spans="1:2" x14ac:dyDescent="0.2">
      <c r="A263" s="42">
        <v>2.61</v>
      </c>
      <c r="B263" s="43">
        <v>0.129</v>
      </c>
    </row>
    <row r="264" spans="1:2" x14ac:dyDescent="0.2">
      <c r="A264" s="42">
        <v>2.62</v>
      </c>
      <c r="B264" s="43">
        <v>0.12809999999999999</v>
      </c>
    </row>
    <row r="265" spans="1:2" x14ac:dyDescent="0.2">
      <c r="A265" s="42">
        <v>2.63</v>
      </c>
      <c r="B265" s="43">
        <v>0.12720000000000001</v>
      </c>
    </row>
    <row r="266" spans="1:2" x14ac:dyDescent="0.2">
      <c r="A266" s="42">
        <v>2.64</v>
      </c>
      <c r="B266" s="43">
        <v>0.1263</v>
      </c>
    </row>
    <row r="267" spans="1:2" x14ac:dyDescent="0.2">
      <c r="A267" s="42">
        <v>2.65</v>
      </c>
      <c r="B267" s="43">
        <v>0.12540000000000001</v>
      </c>
    </row>
    <row r="268" spans="1:2" x14ac:dyDescent="0.2">
      <c r="A268" s="42">
        <v>2.66</v>
      </c>
      <c r="B268" s="43">
        <v>0.1245</v>
      </c>
    </row>
    <row r="269" spans="1:2" x14ac:dyDescent="0.2">
      <c r="A269" s="42">
        <v>2.67</v>
      </c>
      <c r="B269" s="43">
        <v>0.1237</v>
      </c>
    </row>
    <row r="270" spans="1:2" x14ac:dyDescent="0.2">
      <c r="A270" s="42">
        <v>2.68</v>
      </c>
      <c r="B270" s="43">
        <v>0.12280000000000001</v>
      </c>
    </row>
    <row r="271" spans="1:2" x14ac:dyDescent="0.2">
      <c r="A271" s="42">
        <v>2.69</v>
      </c>
      <c r="B271" s="43">
        <v>0.12189999999999999</v>
      </c>
    </row>
    <row r="272" spans="1:2" x14ac:dyDescent="0.2">
      <c r="A272" s="42">
        <v>2.7</v>
      </c>
      <c r="B272" s="43">
        <v>0.1211</v>
      </c>
    </row>
    <row r="273" spans="1:2" x14ac:dyDescent="0.2">
      <c r="A273" s="42">
        <v>2.71</v>
      </c>
      <c r="B273" s="43">
        <v>0.1203</v>
      </c>
    </row>
    <row r="274" spans="1:2" x14ac:dyDescent="0.2">
      <c r="A274" s="42">
        <v>2.72</v>
      </c>
      <c r="B274" s="43">
        <v>0.1195</v>
      </c>
    </row>
    <row r="275" spans="1:2" x14ac:dyDescent="0.2">
      <c r="A275" s="42">
        <v>2.73</v>
      </c>
      <c r="B275" s="43">
        <v>0.1186</v>
      </c>
    </row>
    <row r="276" spans="1:2" x14ac:dyDescent="0.2">
      <c r="A276" s="42">
        <v>2.74</v>
      </c>
      <c r="B276" s="43">
        <v>0.1178</v>
      </c>
    </row>
    <row r="277" spans="1:2" x14ac:dyDescent="0.2">
      <c r="A277" s="42">
        <v>2.75</v>
      </c>
      <c r="B277" s="43">
        <v>0.11700000000000001</v>
      </c>
    </row>
    <row r="278" spans="1:2" x14ac:dyDescent="0.2">
      <c r="A278" s="42">
        <v>2.76</v>
      </c>
      <c r="B278" s="43">
        <v>0.1162</v>
      </c>
    </row>
    <row r="279" spans="1:2" x14ac:dyDescent="0.2">
      <c r="A279" s="42">
        <v>2.77</v>
      </c>
      <c r="B279" s="43">
        <v>0.11550000000000001</v>
      </c>
    </row>
    <row r="280" spans="1:2" x14ac:dyDescent="0.2">
      <c r="A280" s="42">
        <v>2.78</v>
      </c>
      <c r="B280" s="43">
        <v>0.1147</v>
      </c>
    </row>
    <row r="281" spans="1:2" x14ac:dyDescent="0.2">
      <c r="A281" s="42">
        <v>2.79</v>
      </c>
      <c r="B281" s="43">
        <v>0.1139</v>
      </c>
    </row>
    <row r="282" spans="1:2" x14ac:dyDescent="0.2">
      <c r="A282" s="42">
        <v>2.8</v>
      </c>
      <c r="B282" s="43">
        <v>0.1132</v>
      </c>
    </row>
    <row r="283" spans="1:2" x14ac:dyDescent="0.2">
      <c r="A283" s="42">
        <v>2.81</v>
      </c>
      <c r="B283" s="43">
        <v>0.1124</v>
      </c>
    </row>
    <row r="284" spans="1:2" x14ac:dyDescent="0.2">
      <c r="A284" s="42">
        <v>2.82</v>
      </c>
      <c r="B284" s="43">
        <v>0.11169999999999999</v>
      </c>
    </row>
    <row r="285" spans="1:2" x14ac:dyDescent="0.2">
      <c r="A285" s="42">
        <v>2.83</v>
      </c>
      <c r="B285" s="43">
        <v>0.111</v>
      </c>
    </row>
    <row r="286" spans="1:2" x14ac:dyDescent="0.2">
      <c r="A286" s="42">
        <v>2.84</v>
      </c>
      <c r="B286" s="43">
        <v>0.1103</v>
      </c>
    </row>
    <row r="287" spans="1:2" x14ac:dyDescent="0.2">
      <c r="A287" s="42">
        <v>2.85</v>
      </c>
      <c r="B287" s="43">
        <v>0.1096</v>
      </c>
    </row>
    <row r="288" spans="1:2" x14ac:dyDescent="0.2">
      <c r="A288" s="42">
        <v>2.86</v>
      </c>
      <c r="B288" s="43">
        <v>0.10879999999999999</v>
      </c>
    </row>
    <row r="289" spans="1:2" x14ac:dyDescent="0.2">
      <c r="A289" s="42">
        <v>2.87</v>
      </c>
      <c r="B289" s="43">
        <v>0.1081</v>
      </c>
    </row>
    <row r="290" spans="1:2" x14ac:dyDescent="0.2">
      <c r="A290" s="42">
        <v>2.88</v>
      </c>
      <c r="B290" s="43">
        <v>0.1074</v>
      </c>
    </row>
    <row r="291" spans="1:2" x14ac:dyDescent="0.2">
      <c r="A291" s="42">
        <v>2.89</v>
      </c>
      <c r="B291" s="43">
        <v>0.1067</v>
      </c>
    </row>
    <row r="292" spans="1:2" x14ac:dyDescent="0.2">
      <c r="A292" s="42">
        <v>2.9</v>
      </c>
      <c r="B292" s="43">
        <v>0.106</v>
      </c>
    </row>
    <row r="293" spans="1:2" x14ac:dyDescent="0.2">
      <c r="A293" s="42">
        <v>2.91</v>
      </c>
      <c r="B293" s="43">
        <v>0.1053</v>
      </c>
    </row>
    <row r="294" spans="1:2" x14ac:dyDescent="0.2">
      <c r="A294" s="42">
        <v>2.92</v>
      </c>
      <c r="B294" s="43">
        <v>0.1046</v>
      </c>
    </row>
    <row r="295" spans="1:2" x14ac:dyDescent="0.2">
      <c r="A295" s="42">
        <v>2.93</v>
      </c>
      <c r="B295" s="43">
        <v>0.104</v>
      </c>
    </row>
    <row r="296" spans="1:2" x14ac:dyDescent="0.2">
      <c r="A296" s="42">
        <v>2.94</v>
      </c>
      <c r="B296" s="43">
        <v>0.1033</v>
      </c>
    </row>
    <row r="297" spans="1:2" x14ac:dyDescent="0.2">
      <c r="A297" s="42">
        <v>2.95</v>
      </c>
      <c r="B297" s="43">
        <v>0.1026</v>
      </c>
    </row>
    <row r="298" spans="1:2" x14ac:dyDescent="0.2">
      <c r="A298" s="42">
        <v>2.96</v>
      </c>
      <c r="B298" s="43">
        <v>0.10199999999999999</v>
      </c>
    </row>
    <row r="299" spans="1:2" x14ac:dyDescent="0.2">
      <c r="A299" s="42">
        <v>2.97</v>
      </c>
      <c r="B299" s="43">
        <v>0.1013</v>
      </c>
    </row>
    <row r="300" spans="1:2" x14ac:dyDescent="0.2">
      <c r="A300" s="42">
        <v>2.98</v>
      </c>
      <c r="B300" s="43">
        <v>0.1007</v>
      </c>
    </row>
    <row r="301" spans="1:2" x14ac:dyDescent="0.2">
      <c r="A301" s="42">
        <v>2.99</v>
      </c>
      <c r="B301" s="43">
        <v>0.10009999999999999</v>
      </c>
    </row>
    <row r="302" spans="1:2" x14ac:dyDescent="0.2">
      <c r="A302" s="42">
        <v>3</v>
      </c>
      <c r="B302" s="43">
        <v>9.9400000000000002E-2</v>
      </c>
    </row>
    <row r="303" spans="1:2" x14ac:dyDescent="0.2">
      <c r="A303" s="42">
        <v>3.01</v>
      </c>
      <c r="B303" s="43">
        <v>9.8799999999999999E-2</v>
      </c>
    </row>
    <row r="304" spans="1:2" x14ac:dyDescent="0.2">
      <c r="A304" s="42">
        <v>3.02</v>
      </c>
      <c r="B304" s="43">
        <v>9.8199999999999996E-2</v>
      </c>
    </row>
    <row r="305" spans="1:2" x14ac:dyDescent="0.2">
      <c r="A305" s="42">
        <v>3.03</v>
      </c>
      <c r="B305" s="43">
        <v>9.7600000000000006E-2</v>
      </c>
    </row>
    <row r="306" spans="1:2" x14ac:dyDescent="0.2">
      <c r="A306" s="42">
        <v>3.04</v>
      </c>
      <c r="B306" s="43">
        <v>9.7000000000000003E-2</v>
      </c>
    </row>
    <row r="307" spans="1:2" x14ac:dyDescent="0.2">
      <c r="A307" s="42">
        <v>3.05</v>
      </c>
      <c r="B307" s="43">
        <v>9.64E-2</v>
      </c>
    </row>
    <row r="308" spans="1:2" x14ac:dyDescent="0.2">
      <c r="A308" s="42">
        <v>3.06</v>
      </c>
      <c r="B308" s="43">
        <v>9.5799999999999996E-2</v>
      </c>
    </row>
    <row r="309" spans="1:2" x14ac:dyDescent="0.2">
      <c r="A309" s="42">
        <v>3.07</v>
      </c>
      <c r="B309" s="43">
        <v>9.5200000000000007E-2</v>
      </c>
    </row>
    <row r="310" spans="1:2" x14ac:dyDescent="0.2">
      <c r="A310" s="42">
        <v>3.08</v>
      </c>
      <c r="B310" s="43">
        <v>9.4600000000000004E-2</v>
      </c>
    </row>
    <row r="311" spans="1:2" x14ac:dyDescent="0.2">
      <c r="A311" s="42">
        <v>3.09</v>
      </c>
      <c r="B311" s="43">
        <v>9.4E-2</v>
      </c>
    </row>
    <row r="312" spans="1:2" x14ac:dyDescent="0.2">
      <c r="A312" s="42">
        <v>3.1</v>
      </c>
      <c r="B312" s="43">
        <v>9.35E-2</v>
      </c>
    </row>
    <row r="313" spans="1:2" x14ac:dyDescent="0.2">
      <c r="A313" s="42">
        <v>3.11</v>
      </c>
      <c r="B313" s="43">
        <v>9.2899999999999996E-2</v>
      </c>
    </row>
    <row r="314" spans="1:2" x14ac:dyDescent="0.2">
      <c r="A314" s="42">
        <v>3.12</v>
      </c>
      <c r="B314" s="43">
        <v>9.2399999999999996E-2</v>
      </c>
    </row>
    <row r="315" spans="1:2" x14ac:dyDescent="0.2">
      <c r="A315" s="42">
        <v>3.13</v>
      </c>
      <c r="B315" s="43">
        <v>9.1800000000000007E-2</v>
      </c>
    </row>
    <row r="316" spans="1:2" x14ac:dyDescent="0.2">
      <c r="A316" s="42">
        <v>3.14</v>
      </c>
      <c r="B316" s="43">
        <v>9.1200000000000003E-2</v>
      </c>
    </row>
    <row r="317" spans="1:2" x14ac:dyDescent="0.2">
      <c r="A317" s="42">
        <v>3.15</v>
      </c>
      <c r="B317" s="43">
        <v>9.0700000000000003E-2</v>
      </c>
    </row>
    <row r="318" spans="1:2" x14ac:dyDescent="0.2">
      <c r="A318" s="42">
        <v>3.16</v>
      </c>
      <c r="B318" s="43">
        <v>9.0200000000000002E-2</v>
      </c>
    </row>
    <row r="319" spans="1:2" x14ac:dyDescent="0.2">
      <c r="A319" s="42">
        <v>3.17</v>
      </c>
      <c r="B319" s="43">
        <v>8.9599999999999999E-2</v>
      </c>
    </row>
    <row r="320" spans="1:2" x14ac:dyDescent="0.2">
      <c r="A320" s="42">
        <v>3.18</v>
      </c>
      <c r="B320" s="43">
        <v>8.9099999999999999E-2</v>
      </c>
    </row>
    <row r="321" spans="1:2" x14ac:dyDescent="0.2">
      <c r="A321" s="42">
        <v>3.19</v>
      </c>
      <c r="B321" s="43">
        <v>8.8599999999999998E-2</v>
      </c>
    </row>
    <row r="322" spans="1:2" x14ac:dyDescent="0.2">
      <c r="A322" s="42">
        <v>3.2</v>
      </c>
      <c r="B322" s="43">
        <v>8.7999999999999995E-2</v>
      </c>
    </row>
    <row r="323" spans="1:2" x14ac:dyDescent="0.2">
      <c r="A323" s="42">
        <v>3.21</v>
      </c>
      <c r="B323" s="43">
        <v>8.7499999999999994E-2</v>
      </c>
    </row>
    <row r="324" spans="1:2" x14ac:dyDescent="0.2">
      <c r="A324" s="42">
        <v>3.22</v>
      </c>
      <c r="B324" s="43">
        <v>8.6999999999999994E-2</v>
      </c>
    </row>
    <row r="325" spans="1:2" x14ac:dyDescent="0.2">
      <c r="A325" s="42">
        <v>3.23</v>
      </c>
      <c r="B325" s="43">
        <v>8.6499999999999994E-2</v>
      </c>
    </row>
    <row r="326" spans="1:2" x14ac:dyDescent="0.2">
      <c r="A326" s="42">
        <v>3.24</v>
      </c>
      <c r="B326" s="43">
        <v>8.5999999999999993E-2</v>
      </c>
    </row>
    <row r="327" spans="1:2" x14ac:dyDescent="0.2">
      <c r="A327" s="42">
        <v>3.25</v>
      </c>
      <c r="B327" s="43">
        <v>8.5500000000000007E-2</v>
      </c>
    </row>
    <row r="328" spans="1:2" x14ac:dyDescent="0.2">
      <c r="A328" s="42">
        <v>3.26</v>
      </c>
      <c r="B328" s="43">
        <v>8.5000000000000006E-2</v>
      </c>
    </row>
    <row r="329" spans="1:2" x14ac:dyDescent="0.2">
      <c r="A329" s="42">
        <v>3.27</v>
      </c>
      <c r="B329" s="43">
        <v>8.4500000000000006E-2</v>
      </c>
    </row>
    <row r="330" spans="1:2" x14ac:dyDescent="0.2">
      <c r="A330" s="42">
        <v>3.28</v>
      </c>
      <c r="B330" s="43">
        <v>8.4000000000000005E-2</v>
      </c>
    </row>
    <row r="331" spans="1:2" x14ac:dyDescent="0.2">
      <c r="A331" s="42">
        <v>3.29</v>
      </c>
      <c r="B331" s="43">
        <v>8.3500000000000005E-2</v>
      </c>
    </row>
    <row r="332" spans="1:2" x14ac:dyDescent="0.2">
      <c r="A332" s="42">
        <v>3.3</v>
      </c>
      <c r="B332" s="43">
        <v>8.3099999999999993E-2</v>
      </c>
    </row>
    <row r="333" spans="1:2" x14ac:dyDescent="0.2">
      <c r="A333" s="42">
        <v>3.31</v>
      </c>
      <c r="B333" s="43">
        <v>8.2600000000000007E-2</v>
      </c>
    </row>
    <row r="334" spans="1:2" x14ac:dyDescent="0.2">
      <c r="A334" s="42">
        <v>3.32</v>
      </c>
      <c r="B334" s="43">
        <v>8.2100000000000006E-2</v>
      </c>
    </row>
    <row r="335" spans="1:2" x14ac:dyDescent="0.2">
      <c r="A335" s="42">
        <v>3.33</v>
      </c>
      <c r="B335" s="43">
        <v>8.1600000000000006E-2</v>
      </c>
    </row>
    <row r="336" spans="1:2" x14ac:dyDescent="0.2">
      <c r="A336" s="42">
        <v>3.34</v>
      </c>
      <c r="B336" s="43">
        <v>8.1199999999999994E-2</v>
      </c>
    </row>
    <row r="337" spans="1:2" x14ac:dyDescent="0.2">
      <c r="A337" s="42">
        <v>3.35</v>
      </c>
      <c r="B337" s="43">
        <v>8.0699999999999994E-2</v>
      </c>
    </row>
    <row r="338" spans="1:2" x14ac:dyDescent="0.2">
      <c r="A338" s="42">
        <v>3.36</v>
      </c>
      <c r="B338" s="43">
        <v>8.0199999999999994E-2</v>
      </c>
    </row>
    <row r="339" spans="1:2" x14ac:dyDescent="0.2">
      <c r="A339" s="42">
        <v>3.37</v>
      </c>
      <c r="B339" s="43">
        <v>7.9799999999999996E-2</v>
      </c>
    </row>
    <row r="340" spans="1:2" x14ac:dyDescent="0.2">
      <c r="A340" s="42">
        <v>3.38</v>
      </c>
      <c r="B340" s="43">
        <v>7.9399999999999998E-2</v>
      </c>
    </row>
    <row r="341" spans="1:2" x14ac:dyDescent="0.2">
      <c r="A341" s="42">
        <v>3.39</v>
      </c>
      <c r="B341" s="43">
        <v>7.8899999999999998E-2</v>
      </c>
    </row>
    <row r="342" spans="1:2" x14ac:dyDescent="0.2">
      <c r="A342" s="42">
        <v>3.4</v>
      </c>
      <c r="B342" s="43">
        <v>7.85E-2</v>
      </c>
    </row>
    <row r="343" spans="1:2" x14ac:dyDescent="0.2">
      <c r="A343" s="42">
        <v>3.41</v>
      </c>
      <c r="B343" s="43">
        <v>7.8100000000000003E-2</v>
      </c>
    </row>
    <row r="344" spans="1:2" x14ac:dyDescent="0.2">
      <c r="A344" s="42">
        <v>3.42</v>
      </c>
      <c r="B344" s="43">
        <v>7.7600000000000002E-2</v>
      </c>
    </row>
    <row r="345" spans="1:2" x14ac:dyDescent="0.2">
      <c r="A345" s="42">
        <v>3.43</v>
      </c>
      <c r="B345" s="43">
        <v>7.7200000000000005E-2</v>
      </c>
    </row>
    <row r="346" spans="1:2" x14ac:dyDescent="0.2">
      <c r="A346" s="42">
        <v>3.44</v>
      </c>
      <c r="B346" s="43">
        <v>7.6799999999999993E-2</v>
      </c>
    </row>
    <row r="347" spans="1:2" x14ac:dyDescent="0.2">
      <c r="A347" s="42">
        <v>3.45</v>
      </c>
      <c r="B347" s="43">
        <v>7.6300000000000007E-2</v>
      </c>
    </row>
    <row r="348" spans="1:2" x14ac:dyDescent="0.2">
      <c r="A348" s="42">
        <v>3.46</v>
      </c>
      <c r="B348" s="43">
        <v>7.5899999999999995E-2</v>
      </c>
    </row>
    <row r="349" spans="1:2" x14ac:dyDescent="0.2">
      <c r="A349" s="42">
        <v>3.47</v>
      </c>
      <c r="B349" s="43">
        <v>7.5499999999999998E-2</v>
      </c>
    </row>
    <row r="350" spans="1:2" x14ac:dyDescent="0.2">
      <c r="A350" s="42">
        <v>3.48</v>
      </c>
      <c r="B350" s="43">
        <v>7.51E-2</v>
      </c>
    </row>
    <row r="351" spans="1:2" x14ac:dyDescent="0.2">
      <c r="A351" s="42">
        <v>3.49</v>
      </c>
      <c r="B351" s="43">
        <v>7.4700000000000003E-2</v>
      </c>
    </row>
  </sheetData>
  <sheetProtection algorithmName="SHA-512" hashValue="07y9fe1R5IaP9go6tng/RONIAF80LVXAErZhDNpzfk4f3KKWTElXFLK5pHImpBtUmLhFRgKIYp1ldclQ35Hhuw==" saltValue="SuDaDPiUttKqrxXwqFAMyQ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D2949-BCC7-5645-A599-A90F12376185}">
  <sheetPr codeName="Tabelle5"/>
  <dimension ref="A1:B351"/>
  <sheetViews>
    <sheetView topLeftCell="A303" workbookViewId="0">
      <selection activeCell="K358" sqref="K358"/>
    </sheetView>
  </sheetViews>
  <sheetFormatPr baseColWidth="10" defaultRowHeight="15" x14ac:dyDescent="0.2"/>
  <cols>
    <col min="1" max="1" width="11" style="39" bestFit="1" customWidth="1"/>
    <col min="2" max="2" width="11.5" style="39" bestFit="1" customWidth="1"/>
  </cols>
  <sheetData>
    <row r="1" spans="1:2" x14ac:dyDescent="0.2">
      <c r="A1" s="38" t="s">
        <v>102</v>
      </c>
      <c r="B1" s="38" t="s">
        <v>103</v>
      </c>
    </row>
    <row r="2" spans="1:2" x14ac:dyDescent="0.2">
      <c r="A2" s="39">
        <v>0</v>
      </c>
      <c r="B2" s="39">
        <v>1</v>
      </c>
    </row>
    <row r="3" spans="1:2" x14ac:dyDescent="0.2">
      <c r="A3" s="39">
        <v>0.01</v>
      </c>
      <c r="B3" s="39">
        <v>1</v>
      </c>
    </row>
    <row r="4" spans="1:2" x14ac:dyDescent="0.2">
      <c r="A4" s="39">
        <v>0.02</v>
      </c>
      <c r="B4" s="39">
        <v>1</v>
      </c>
    </row>
    <row r="5" spans="1:2" x14ac:dyDescent="0.2">
      <c r="A5" s="39">
        <v>0.03</v>
      </c>
      <c r="B5" s="39">
        <v>1</v>
      </c>
    </row>
    <row r="6" spans="1:2" x14ac:dyDescent="0.2">
      <c r="A6" s="39">
        <v>0.04</v>
      </c>
      <c r="B6" s="39">
        <v>1</v>
      </c>
    </row>
    <row r="7" spans="1:2" x14ac:dyDescent="0.2">
      <c r="A7" s="39">
        <v>0.05</v>
      </c>
      <c r="B7" s="39">
        <v>1</v>
      </c>
    </row>
    <row r="8" spans="1:2" x14ac:dyDescent="0.2">
      <c r="A8" s="39">
        <v>0.06</v>
      </c>
      <c r="B8" s="39">
        <v>1</v>
      </c>
    </row>
    <row r="9" spans="1:2" x14ac:dyDescent="0.2">
      <c r="A9" s="39">
        <v>7.0000000000000007E-2</v>
      </c>
      <c r="B9" s="39">
        <v>1</v>
      </c>
    </row>
    <row r="10" spans="1:2" x14ac:dyDescent="0.2">
      <c r="A10" s="39">
        <v>0.08</v>
      </c>
      <c r="B10" s="39">
        <v>1</v>
      </c>
    </row>
    <row r="11" spans="1:2" x14ac:dyDescent="0.2">
      <c r="A11" s="39">
        <v>0.09</v>
      </c>
      <c r="B11" s="39">
        <v>1</v>
      </c>
    </row>
    <row r="12" spans="1:2" x14ac:dyDescent="0.2">
      <c r="A12" s="39">
        <v>0.1</v>
      </c>
      <c r="B12" s="39">
        <v>1</v>
      </c>
    </row>
    <row r="13" spans="1:2" x14ac:dyDescent="0.2">
      <c r="A13" s="39">
        <v>0.11</v>
      </c>
      <c r="B13" s="39">
        <v>1</v>
      </c>
    </row>
    <row r="14" spans="1:2" x14ac:dyDescent="0.2">
      <c r="A14" s="39">
        <v>0.12</v>
      </c>
      <c r="B14" s="39">
        <v>1</v>
      </c>
    </row>
    <row r="15" spans="1:2" x14ac:dyDescent="0.2">
      <c r="A15" s="39">
        <v>0.13</v>
      </c>
      <c r="B15" s="39">
        <v>1</v>
      </c>
    </row>
    <row r="16" spans="1:2" x14ac:dyDescent="0.2">
      <c r="A16" s="39">
        <v>0.14000000000000001</v>
      </c>
      <c r="B16" s="39">
        <v>1</v>
      </c>
    </row>
    <row r="17" spans="1:2" x14ac:dyDescent="0.2">
      <c r="A17" s="39">
        <v>0.15</v>
      </c>
      <c r="B17" s="39">
        <v>1</v>
      </c>
    </row>
    <row r="18" spans="1:2" x14ac:dyDescent="0.2">
      <c r="A18" s="39">
        <v>0.16</v>
      </c>
      <c r="B18" s="39">
        <v>1</v>
      </c>
    </row>
    <row r="19" spans="1:2" x14ac:dyDescent="0.2">
      <c r="A19" s="39">
        <v>0.17</v>
      </c>
      <c r="B19" s="39">
        <v>1</v>
      </c>
    </row>
    <row r="20" spans="1:2" x14ac:dyDescent="0.2">
      <c r="A20" s="39">
        <v>0.18</v>
      </c>
      <c r="B20" s="39">
        <v>1</v>
      </c>
    </row>
    <row r="21" spans="1:2" x14ac:dyDescent="0.2">
      <c r="A21" s="39">
        <v>0.19</v>
      </c>
      <c r="B21" s="39">
        <v>1</v>
      </c>
    </row>
    <row r="22" spans="1:2" x14ac:dyDescent="0.2">
      <c r="A22" s="39">
        <v>0.2</v>
      </c>
      <c r="B22" s="39">
        <v>1</v>
      </c>
    </row>
    <row r="23" spans="1:2" x14ac:dyDescent="0.2">
      <c r="A23" s="39">
        <v>0.21</v>
      </c>
      <c r="B23" s="39">
        <v>0.99490000000000001</v>
      </c>
    </row>
    <row r="24" spans="1:2" x14ac:dyDescent="0.2">
      <c r="A24" s="39">
        <v>0.22</v>
      </c>
      <c r="B24" s="39">
        <v>0.98980000000000001</v>
      </c>
    </row>
    <row r="25" spans="1:2" x14ac:dyDescent="0.2">
      <c r="A25" s="39">
        <v>0.23</v>
      </c>
      <c r="B25" s="39">
        <v>0.98470000000000002</v>
      </c>
    </row>
    <row r="26" spans="1:2" x14ac:dyDescent="0.2">
      <c r="A26" s="39">
        <v>0.24</v>
      </c>
      <c r="B26" s="39">
        <v>0.97970000000000002</v>
      </c>
    </row>
    <row r="27" spans="1:2" x14ac:dyDescent="0.2">
      <c r="A27" s="39">
        <v>0.25</v>
      </c>
      <c r="B27" s="39">
        <v>0.97460000000000002</v>
      </c>
    </row>
    <row r="28" spans="1:2" x14ac:dyDescent="0.2">
      <c r="A28" s="39">
        <v>0.26</v>
      </c>
      <c r="B28" s="39">
        <v>0.96950000000000003</v>
      </c>
    </row>
    <row r="29" spans="1:2" x14ac:dyDescent="0.2">
      <c r="A29" s="39">
        <v>0.27</v>
      </c>
      <c r="B29" s="39">
        <v>0.96440000000000003</v>
      </c>
    </row>
    <row r="30" spans="1:2" x14ac:dyDescent="0.2">
      <c r="A30" s="39">
        <v>0.28000000000000003</v>
      </c>
      <c r="B30" s="39">
        <v>0.95930000000000004</v>
      </c>
    </row>
    <row r="31" spans="1:2" x14ac:dyDescent="0.2">
      <c r="A31" s="39">
        <v>0.28999999999999998</v>
      </c>
      <c r="B31" s="39">
        <v>0.95420000000000005</v>
      </c>
    </row>
    <row r="32" spans="1:2" x14ac:dyDescent="0.2">
      <c r="A32" s="39">
        <v>0.3</v>
      </c>
      <c r="B32" s="39">
        <v>0.94910000000000005</v>
      </c>
    </row>
    <row r="33" spans="1:2" x14ac:dyDescent="0.2">
      <c r="A33" s="39">
        <v>0.31</v>
      </c>
      <c r="B33" s="39">
        <v>0.94399999999999995</v>
      </c>
    </row>
    <row r="34" spans="1:2" x14ac:dyDescent="0.2">
      <c r="A34" s="39">
        <v>0.32</v>
      </c>
      <c r="B34" s="39">
        <v>0.93889999999999996</v>
      </c>
    </row>
    <row r="35" spans="1:2" x14ac:dyDescent="0.2">
      <c r="A35" s="39">
        <v>0.33</v>
      </c>
      <c r="B35" s="39">
        <v>0.93379999999999996</v>
      </c>
    </row>
    <row r="36" spans="1:2" x14ac:dyDescent="0.2">
      <c r="A36" s="39">
        <v>0.34</v>
      </c>
      <c r="B36" s="39">
        <v>0.92859999999999998</v>
      </c>
    </row>
    <row r="37" spans="1:2" x14ac:dyDescent="0.2">
      <c r="A37" s="39">
        <v>0.35</v>
      </c>
      <c r="B37" s="39">
        <v>0.92349999999999999</v>
      </c>
    </row>
    <row r="38" spans="1:2" x14ac:dyDescent="0.2">
      <c r="A38" s="39">
        <v>0.36</v>
      </c>
      <c r="B38" s="39">
        <v>0.91830000000000001</v>
      </c>
    </row>
    <row r="39" spans="1:2" x14ac:dyDescent="0.2">
      <c r="A39" s="39">
        <v>0.37</v>
      </c>
      <c r="B39" s="39">
        <v>0.91310000000000002</v>
      </c>
    </row>
    <row r="40" spans="1:2" x14ac:dyDescent="0.2">
      <c r="A40" s="39">
        <v>0.38</v>
      </c>
      <c r="B40" s="39">
        <v>0.90780000000000005</v>
      </c>
    </row>
    <row r="41" spans="1:2" x14ac:dyDescent="0.2">
      <c r="A41" s="39">
        <v>0.39</v>
      </c>
      <c r="B41" s="39">
        <v>0.90259999999999996</v>
      </c>
    </row>
    <row r="42" spans="1:2" x14ac:dyDescent="0.2">
      <c r="A42" s="39">
        <v>0.4</v>
      </c>
      <c r="B42" s="39">
        <v>0.89729999999999999</v>
      </c>
    </row>
    <row r="43" spans="1:2" x14ac:dyDescent="0.2">
      <c r="A43" s="39">
        <v>0.41</v>
      </c>
      <c r="B43" s="39">
        <v>0.89200000000000002</v>
      </c>
    </row>
    <row r="44" spans="1:2" x14ac:dyDescent="0.2">
      <c r="A44" s="39">
        <v>0.42</v>
      </c>
      <c r="B44" s="39">
        <v>0.88670000000000004</v>
      </c>
    </row>
    <row r="45" spans="1:2" x14ac:dyDescent="0.2">
      <c r="A45" s="39">
        <v>0.43</v>
      </c>
      <c r="B45" s="39">
        <v>0.88129999999999997</v>
      </c>
    </row>
    <row r="46" spans="1:2" x14ac:dyDescent="0.2">
      <c r="A46" s="39">
        <v>0.44</v>
      </c>
      <c r="B46" s="39">
        <v>0.876</v>
      </c>
    </row>
    <row r="47" spans="1:2" x14ac:dyDescent="0.2">
      <c r="A47" s="39">
        <v>0.45</v>
      </c>
      <c r="B47" s="39">
        <v>0.87070000000000003</v>
      </c>
    </row>
    <row r="48" spans="1:2" x14ac:dyDescent="0.2">
      <c r="A48" s="39">
        <v>0.46</v>
      </c>
      <c r="B48" s="39">
        <v>0.86509999999999998</v>
      </c>
    </row>
    <row r="49" spans="1:2" x14ac:dyDescent="0.2">
      <c r="A49" s="39">
        <v>0.47</v>
      </c>
      <c r="B49" s="39">
        <v>0.85960000000000003</v>
      </c>
    </row>
    <row r="50" spans="1:2" x14ac:dyDescent="0.2">
      <c r="A50" s="39">
        <v>0.48</v>
      </c>
      <c r="B50" s="39">
        <v>0.85409999999999997</v>
      </c>
    </row>
    <row r="51" spans="1:2" x14ac:dyDescent="0.2">
      <c r="A51" s="39">
        <v>0.49</v>
      </c>
      <c r="B51" s="39">
        <v>0.84860000000000002</v>
      </c>
    </row>
    <row r="52" spans="1:2" x14ac:dyDescent="0.2">
      <c r="A52" s="39">
        <v>0.5</v>
      </c>
      <c r="B52" s="39">
        <v>0.84299999999999997</v>
      </c>
    </row>
    <row r="53" spans="1:2" x14ac:dyDescent="0.2">
      <c r="A53" s="39">
        <v>0.51</v>
      </c>
      <c r="B53" s="39">
        <v>0.83740000000000003</v>
      </c>
    </row>
    <row r="54" spans="1:2" x14ac:dyDescent="0.2">
      <c r="A54" s="39">
        <v>0.52</v>
      </c>
      <c r="B54" s="39">
        <v>0.83169999999999999</v>
      </c>
    </row>
    <row r="55" spans="1:2" x14ac:dyDescent="0.2">
      <c r="A55" s="39">
        <v>0.53</v>
      </c>
      <c r="B55" s="39">
        <v>0.82609999999999995</v>
      </c>
    </row>
    <row r="56" spans="1:2" x14ac:dyDescent="0.2">
      <c r="A56" s="39">
        <v>0.54</v>
      </c>
      <c r="B56" s="39">
        <v>0.82040000000000002</v>
      </c>
    </row>
    <row r="57" spans="1:2" x14ac:dyDescent="0.2">
      <c r="A57" s="39">
        <v>0.55000000000000004</v>
      </c>
      <c r="B57" s="39">
        <v>0.81459999999999999</v>
      </c>
    </row>
    <row r="58" spans="1:2" x14ac:dyDescent="0.2">
      <c r="A58" s="39">
        <v>0.56000000000000005</v>
      </c>
      <c r="B58" s="39">
        <v>0.80879999999999996</v>
      </c>
    </row>
    <row r="59" spans="1:2" x14ac:dyDescent="0.2">
      <c r="A59" s="39">
        <v>0.56999999999999995</v>
      </c>
      <c r="B59" s="39">
        <v>0.80300000000000005</v>
      </c>
    </row>
    <row r="60" spans="1:2" x14ac:dyDescent="0.2">
      <c r="A60" s="39">
        <v>0.57999999999999996</v>
      </c>
      <c r="B60" s="39">
        <v>0.79720000000000002</v>
      </c>
    </row>
    <row r="61" spans="1:2" x14ac:dyDescent="0.2">
      <c r="A61" s="39">
        <v>0.59</v>
      </c>
      <c r="B61" s="39">
        <v>0.7913</v>
      </c>
    </row>
    <row r="62" spans="1:2" x14ac:dyDescent="0.2">
      <c r="A62" s="39">
        <v>0.6</v>
      </c>
      <c r="B62" s="39">
        <v>0.78539999999999999</v>
      </c>
    </row>
    <row r="63" spans="1:2" x14ac:dyDescent="0.2">
      <c r="A63" s="39">
        <v>0.61</v>
      </c>
      <c r="B63" s="39">
        <v>0.77939999999999998</v>
      </c>
    </row>
    <row r="64" spans="1:2" x14ac:dyDescent="0.2">
      <c r="A64" s="39">
        <v>0.62</v>
      </c>
      <c r="B64" s="39">
        <v>0.77349999999999997</v>
      </c>
    </row>
    <row r="65" spans="1:2" x14ac:dyDescent="0.2">
      <c r="A65" s="39">
        <v>0.63</v>
      </c>
      <c r="B65" s="39">
        <v>0.76749999999999996</v>
      </c>
    </row>
    <row r="66" spans="1:2" x14ac:dyDescent="0.2">
      <c r="A66" s="39">
        <v>0.64</v>
      </c>
      <c r="B66" s="39">
        <v>0.76139999999999997</v>
      </c>
    </row>
    <row r="67" spans="1:2" x14ac:dyDescent="0.2">
      <c r="A67" s="39">
        <v>0.65</v>
      </c>
      <c r="B67" s="39">
        <v>0.75539999999999996</v>
      </c>
    </row>
    <row r="68" spans="1:2" x14ac:dyDescent="0.2">
      <c r="A68" s="39">
        <v>0.66</v>
      </c>
      <c r="B68" s="39">
        <v>0.74929999999999997</v>
      </c>
    </row>
    <row r="69" spans="1:2" x14ac:dyDescent="0.2">
      <c r="A69" s="39">
        <v>0.67</v>
      </c>
      <c r="B69" s="39">
        <v>0.74319999999999997</v>
      </c>
    </row>
    <row r="70" spans="1:2" x14ac:dyDescent="0.2">
      <c r="A70" s="39">
        <v>0.68</v>
      </c>
      <c r="B70" s="39">
        <v>0.73699999999999999</v>
      </c>
    </row>
    <row r="71" spans="1:2" x14ac:dyDescent="0.2">
      <c r="A71" s="39">
        <v>0.69</v>
      </c>
      <c r="B71" s="39">
        <v>0.73089999999999999</v>
      </c>
    </row>
    <row r="72" spans="1:2" x14ac:dyDescent="0.2">
      <c r="A72" s="39">
        <v>0.7</v>
      </c>
      <c r="B72" s="39">
        <v>0.72470000000000001</v>
      </c>
    </row>
    <row r="73" spans="1:2" x14ac:dyDescent="0.2">
      <c r="A73" s="39">
        <v>0.71</v>
      </c>
      <c r="B73" s="39">
        <v>0.71850000000000003</v>
      </c>
    </row>
    <row r="74" spans="1:2" x14ac:dyDescent="0.2">
      <c r="A74" s="39">
        <v>0.72</v>
      </c>
      <c r="B74" s="39">
        <v>0.71230000000000004</v>
      </c>
    </row>
    <row r="75" spans="1:2" x14ac:dyDescent="0.2">
      <c r="A75" s="39">
        <v>0.73</v>
      </c>
      <c r="B75" s="39">
        <v>0.70599999999999996</v>
      </c>
    </row>
    <row r="76" spans="1:2" x14ac:dyDescent="0.2">
      <c r="A76" s="39">
        <v>0.74</v>
      </c>
      <c r="B76" s="39">
        <v>0.69979999999999998</v>
      </c>
    </row>
    <row r="77" spans="1:2" x14ac:dyDescent="0.2">
      <c r="A77" s="39">
        <v>0.75</v>
      </c>
      <c r="B77" s="39">
        <v>0.69350000000000001</v>
      </c>
    </row>
    <row r="78" spans="1:2" x14ac:dyDescent="0.2">
      <c r="A78" s="39">
        <v>0.76</v>
      </c>
      <c r="B78" s="39">
        <v>0.68730000000000002</v>
      </c>
    </row>
    <row r="79" spans="1:2" x14ac:dyDescent="0.2">
      <c r="A79" s="39">
        <v>0.77</v>
      </c>
      <c r="B79" s="39">
        <v>0.68100000000000005</v>
      </c>
    </row>
    <row r="80" spans="1:2" x14ac:dyDescent="0.2">
      <c r="A80" s="39">
        <v>0.78</v>
      </c>
      <c r="B80" s="39">
        <v>0.67469999999999997</v>
      </c>
    </row>
    <row r="81" spans="1:2" x14ac:dyDescent="0.2">
      <c r="A81" s="39">
        <v>0.79</v>
      </c>
      <c r="B81" s="39">
        <v>0.66839999999999999</v>
      </c>
    </row>
    <row r="82" spans="1:2" x14ac:dyDescent="0.2">
      <c r="A82" s="39">
        <v>0.8</v>
      </c>
      <c r="B82" s="39">
        <v>0.66220000000000001</v>
      </c>
    </row>
    <row r="83" spans="1:2" x14ac:dyDescent="0.2">
      <c r="A83" s="39">
        <v>0.81</v>
      </c>
      <c r="B83" s="39">
        <v>0.65590000000000004</v>
      </c>
    </row>
    <row r="84" spans="1:2" x14ac:dyDescent="0.2">
      <c r="A84" s="39">
        <v>0.82</v>
      </c>
      <c r="B84" s="39">
        <v>0.64959999999999996</v>
      </c>
    </row>
    <row r="85" spans="1:2" x14ac:dyDescent="0.2">
      <c r="A85" s="39">
        <v>0.83</v>
      </c>
      <c r="B85" s="39">
        <v>0.64329999999999998</v>
      </c>
    </row>
    <row r="86" spans="1:2" x14ac:dyDescent="0.2">
      <c r="A86" s="39">
        <v>0.84</v>
      </c>
      <c r="B86" s="39">
        <v>0.6371</v>
      </c>
    </row>
    <row r="87" spans="1:2" x14ac:dyDescent="0.2">
      <c r="A87" s="39">
        <v>0.85</v>
      </c>
      <c r="B87" s="39">
        <v>0.63080000000000003</v>
      </c>
    </row>
    <row r="88" spans="1:2" x14ac:dyDescent="0.2">
      <c r="A88" s="39">
        <v>0.86</v>
      </c>
      <c r="B88" s="39">
        <v>0.62460000000000004</v>
      </c>
    </row>
    <row r="89" spans="1:2" x14ac:dyDescent="0.2">
      <c r="A89" s="39">
        <v>0.87</v>
      </c>
      <c r="B89" s="39">
        <v>0.61839999999999995</v>
      </c>
    </row>
    <row r="90" spans="1:2" x14ac:dyDescent="0.2">
      <c r="A90" s="39">
        <v>0.88</v>
      </c>
      <c r="B90" s="39">
        <v>0.61219999999999997</v>
      </c>
    </row>
    <row r="91" spans="1:2" x14ac:dyDescent="0.2">
      <c r="A91" s="39">
        <v>0.89</v>
      </c>
      <c r="B91" s="39">
        <v>0.60599999999999998</v>
      </c>
    </row>
    <row r="92" spans="1:2" x14ac:dyDescent="0.2">
      <c r="A92" s="39">
        <v>0.9</v>
      </c>
      <c r="B92" s="39">
        <v>0.5998</v>
      </c>
    </row>
    <row r="93" spans="1:2" x14ac:dyDescent="0.2">
      <c r="A93" s="39">
        <v>0.91</v>
      </c>
      <c r="B93" s="39">
        <v>0.59370000000000001</v>
      </c>
    </row>
    <row r="94" spans="1:2" x14ac:dyDescent="0.2">
      <c r="A94" s="39">
        <v>0.92</v>
      </c>
      <c r="B94" s="39">
        <v>0.58760000000000001</v>
      </c>
    </row>
    <row r="95" spans="1:2" x14ac:dyDescent="0.2">
      <c r="A95" s="39">
        <v>0.93</v>
      </c>
      <c r="B95" s="39">
        <v>0.58150000000000002</v>
      </c>
    </row>
    <row r="96" spans="1:2" x14ac:dyDescent="0.2">
      <c r="A96" s="39">
        <v>0.94</v>
      </c>
      <c r="B96" s="39">
        <v>0.57550000000000001</v>
      </c>
    </row>
    <row r="97" spans="1:2" x14ac:dyDescent="0.2">
      <c r="A97" s="39">
        <v>0.95</v>
      </c>
      <c r="B97" s="39">
        <v>0.56950000000000001</v>
      </c>
    </row>
    <row r="98" spans="1:2" x14ac:dyDescent="0.2">
      <c r="A98" s="39">
        <v>0.96</v>
      </c>
      <c r="B98" s="39">
        <v>0.5635</v>
      </c>
    </row>
    <row r="99" spans="1:2" x14ac:dyDescent="0.2">
      <c r="A99" s="39">
        <v>0.97</v>
      </c>
      <c r="B99" s="39">
        <v>0.5575</v>
      </c>
    </row>
    <row r="100" spans="1:2" x14ac:dyDescent="0.2">
      <c r="A100" s="39">
        <v>0.98</v>
      </c>
      <c r="B100" s="39">
        <v>0.55159999999999998</v>
      </c>
    </row>
    <row r="101" spans="1:2" x14ac:dyDescent="0.2">
      <c r="A101" s="39">
        <v>0.99</v>
      </c>
      <c r="B101" s="39">
        <v>0.54579999999999995</v>
      </c>
    </row>
    <row r="102" spans="1:2" x14ac:dyDescent="0.2">
      <c r="A102" s="39">
        <v>1</v>
      </c>
      <c r="B102" s="39">
        <v>0.53990000000000005</v>
      </c>
    </row>
    <row r="103" spans="1:2" x14ac:dyDescent="0.2">
      <c r="A103" s="39">
        <v>1.01</v>
      </c>
      <c r="B103" s="39">
        <v>0.53420000000000001</v>
      </c>
    </row>
    <row r="104" spans="1:2" x14ac:dyDescent="0.2">
      <c r="A104" s="39">
        <v>1.02</v>
      </c>
      <c r="B104" s="39">
        <v>0.52839999999999998</v>
      </c>
    </row>
    <row r="105" spans="1:2" x14ac:dyDescent="0.2">
      <c r="A105" s="39">
        <v>1.03</v>
      </c>
      <c r="B105" s="39">
        <v>0.52270000000000005</v>
      </c>
    </row>
    <row r="106" spans="1:2" x14ac:dyDescent="0.2">
      <c r="A106" s="39">
        <v>1.04</v>
      </c>
      <c r="B106" s="39">
        <v>0.5171</v>
      </c>
    </row>
    <row r="107" spans="1:2" x14ac:dyDescent="0.2">
      <c r="A107" s="39">
        <v>1.05</v>
      </c>
      <c r="B107" s="39">
        <v>0.51149999999999995</v>
      </c>
    </row>
    <row r="108" spans="1:2" x14ac:dyDescent="0.2">
      <c r="A108" s="39">
        <v>1.06</v>
      </c>
      <c r="B108" s="39">
        <v>0.50590000000000002</v>
      </c>
    </row>
    <row r="109" spans="1:2" x14ac:dyDescent="0.2">
      <c r="A109" s="39">
        <v>1.07</v>
      </c>
      <c r="B109" s="39">
        <v>0.50039999999999996</v>
      </c>
    </row>
    <row r="110" spans="1:2" x14ac:dyDescent="0.2">
      <c r="A110" s="39">
        <v>1.08</v>
      </c>
      <c r="B110" s="39">
        <v>0.495</v>
      </c>
    </row>
    <row r="111" spans="1:2" x14ac:dyDescent="0.2">
      <c r="A111" s="39">
        <v>1.0900000000000001</v>
      </c>
      <c r="B111" s="39">
        <v>0.48959999999999998</v>
      </c>
    </row>
    <row r="112" spans="1:2" x14ac:dyDescent="0.2">
      <c r="A112" s="39">
        <v>1.1000000000000001</v>
      </c>
      <c r="B112" s="39">
        <v>0.48420000000000002</v>
      </c>
    </row>
    <row r="113" spans="1:2" x14ac:dyDescent="0.2">
      <c r="A113" s="39">
        <v>1.1100000000000001</v>
      </c>
      <c r="B113" s="39">
        <v>0.47899999999999998</v>
      </c>
    </row>
    <row r="114" spans="1:2" x14ac:dyDescent="0.2">
      <c r="A114" s="39">
        <v>1.1200000000000001</v>
      </c>
      <c r="B114" s="39">
        <v>0.47370000000000001</v>
      </c>
    </row>
    <row r="115" spans="1:2" x14ac:dyDescent="0.2">
      <c r="A115" s="39">
        <v>1.1299999999999999</v>
      </c>
      <c r="B115" s="39">
        <v>0.46850000000000003</v>
      </c>
    </row>
    <row r="116" spans="1:2" x14ac:dyDescent="0.2">
      <c r="A116" s="39">
        <v>1.1399999999999999</v>
      </c>
      <c r="B116" s="39">
        <v>0.46339999999999998</v>
      </c>
    </row>
    <row r="117" spans="1:2" x14ac:dyDescent="0.2">
      <c r="A117" s="39">
        <v>1.1499999999999999</v>
      </c>
      <c r="B117" s="39">
        <v>0.45829999999999999</v>
      </c>
    </row>
    <row r="118" spans="1:2" x14ac:dyDescent="0.2">
      <c r="A118" s="39">
        <v>1.1599999999999999</v>
      </c>
      <c r="B118" s="39">
        <v>0.45329999999999998</v>
      </c>
    </row>
    <row r="119" spans="1:2" x14ac:dyDescent="0.2">
      <c r="A119" s="39">
        <v>1.17</v>
      </c>
      <c r="B119" s="39">
        <v>0.44829999999999998</v>
      </c>
    </row>
    <row r="120" spans="1:2" x14ac:dyDescent="0.2">
      <c r="A120" s="39">
        <v>1.18</v>
      </c>
      <c r="B120" s="39">
        <v>0.44340000000000002</v>
      </c>
    </row>
    <row r="121" spans="1:2" x14ac:dyDescent="0.2">
      <c r="A121" s="39">
        <v>1.19</v>
      </c>
      <c r="B121" s="39">
        <v>0.43859999999999999</v>
      </c>
    </row>
    <row r="122" spans="1:2" x14ac:dyDescent="0.2">
      <c r="A122" s="39">
        <v>1.2</v>
      </c>
      <c r="B122" s="39">
        <v>0.43380000000000002</v>
      </c>
    </row>
    <row r="123" spans="1:2" x14ac:dyDescent="0.2">
      <c r="A123" s="39">
        <v>1.21</v>
      </c>
      <c r="B123" s="39">
        <v>0.42899999999999999</v>
      </c>
    </row>
    <row r="124" spans="1:2" x14ac:dyDescent="0.2">
      <c r="A124" s="39">
        <v>1.22</v>
      </c>
      <c r="B124" s="39">
        <v>0.42430000000000001</v>
      </c>
    </row>
    <row r="125" spans="1:2" x14ac:dyDescent="0.2">
      <c r="A125" s="39">
        <v>1.23</v>
      </c>
      <c r="B125" s="39">
        <v>0.41970000000000002</v>
      </c>
    </row>
    <row r="126" spans="1:2" x14ac:dyDescent="0.2">
      <c r="A126" s="39">
        <v>1.24</v>
      </c>
      <c r="B126" s="39">
        <v>0.41510000000000002</v>
      </c>
    </row>
    <row r="127" spans="1:2" x14ac:dyDescent="0.2">
      <c r="A127" s="39">
        <v>1.25</v>
      </c>
      <c r="B127" s="39">
        <v>0.41060000000000002</v>
      </c>
    </row>
    <row r="128" spans="1:2" x14ac:dyDescent="0.2">
      <c r="A128" s="39">
        <v>1.26</v>
      </c>
      <c r="B128" s="39">
        <v>0.40610000000000002</v>
      </c>
    </row>
    <row r="129" spans="1:2" x14ac:dyDescent="0.2">
      <c r="A129" s="39">
        <v>1.27</v>
      </c>
      <c r="B129" s="39">
        <v>0.4017</v>
      </c>
    </row>
    <row r="130" spans="1:2" x14ac:dyDescent="0.2">
      <c r="A130" s="39">
        <v>1.28</v>
      </c>
      <c r="B130" s="39">
        <v>0.39739999999999998</v>
      </c>
    </row>
    <row r="131" spans="1:2" x14ac:dyDescent="0.2">
      <c r="A131" s="39">
        <v>1.29</v>
      </c>
      <c r="B131" s="39">
        <v>0.3931</v>
      </c>
    </row>
    <row r="132" spans="1:2" x14ac:dyDescent="0.2">
      <c r="A132" s="39">
        <v>1.3</v>
      </c>
      <c r="B132" s="39">
        <v>0.38879999999999998</v>
      </c>
    </row>
    <row r="133" spans="1:2" x14ac:dyDescent="0.2">
      <c r="A133" s="39">
        <v>1.31</v>
      </c>
      <c r="B133" s="39">
        <v>0.3846</v>
      </c>
    </row>
    <row r="134" spans="1:2" x14ac:dyDescent="0.2">
      <c r="A134" s="39">
        <v>1.32</v>
      </c>
      <c r="B134" s="39">
        <v>0.3805</v>
      </c>
    </row>
    <row r="135" spans="1:2" x14ac:dyDescent="0.2">
      <c r="A135" s="39">
        <v>1.33</v>
      </c>
      <c r="B135" s="39">
        <v>0.37640000000000001</v>
      </c>
    </row>
    <row r="136" spans="1:2" x14ac:dyDescent="0.2">
      <c r="A136" s="39">
        <v>1.34</v>
      </c>
      <c r="B136" s="39">
        <v>0.37240000000000001</v>
      </c>
    </row>
    <row r="137" spans="1:2" x14ac:dyDescent="0.2">
      <c r="A137" s="39">
        <v>1.35</v>
      </c>
      <c r="B137" s="39">
        <v>0.36840000000000001</v>
      </c>
    </row>
    <row r="138" spans="1:2" x14ac:dyDescent="0.2">
      <c r="A138" s="39">
        <v>1.36</v>
      </c>
      <c r="B138" s="39">
        <v>0.3644</v>
      </c>
    </row>
    <row r="139" spans="1:2" x14ac:dyDescent="0.2">
      <c r="A139" s="39">
        <v>1.37</v>
      </c>
      <c r="B139" s="39">
        <v>0.36059999999999998</v>
      </c>
    </row>
    <row r="140" spans="1:2" x14ac:dyDescent="0.2">
      <c r="A140" s="39">
        <v>1.38</v>
      </c>
      <c r="B140" s="39">
        <v>0.35670000000000002</v>
      </c>
    </row>
    <row r="141" spans="1:2" x14ac:dyDescent="0.2">
      <c r="A141" s="39">
        <v>1.39</v>
      </c>
      <c r="B141" s="39">
        <v>0.35289999999999999</v>
      </c>
    </row>
    <row r="142" spans="1:2" x14ac:dyDescent="0.2">
      <c r="A142" s="39">
        <v>1.4</v>
      </c>
      <c r="B142" s="39">
        <v>0.34920000000000001</v>
      </c>
    </row>
    <row r="143" spans="1:2" x14ac:dyDescent="0.2">
      <c r="A143" s="39">
        <v>1.41</v>
      </c>
      <c r="B143" s="39">
        <v>0.34549999999999997</v>
      </c>
    </row>
    <row r="144" spans="1:2" x14ac:dyDescent="0.2">
      <c r="A144" s="39">
        <v>1.42</v>
      </c>
      <c r="B144" s="39">
        <v>0.34189999999999998</v>
      </c>
    </row>
    <row r="145" spans="1:2" x14ac:dyDescent="0.2">
      <c r="A145" s="39">
        <v>1.43</v>
      </c>
      <c r="B145" s="39">
        <v>0.33829999999999999</v>
      </c>
    </row>
    <row r="146" spans="1:2" x14ac:dyDescent="0.2">
      <c r="A146" s="39">
        <v>1.44</v>
      </c>
      <c r="B146" s="39">
        <v>0.33479999999999999</v>
      </c>
    </row>
    <row r="147" spans="1:2" x14ac:dyDescent="0.2">
      <c r="A147" s="39">
        <v>1.45</v>
      </c>
      <c r="B147" s="39">
        <v>0.33129999999999998</v>
      </c>
    </row>
    <row r="148" spans="1:2" x14ac:dyDescent="0.2">
      <c r="A148" s="39">
        <v>1.46</v>
      </c>
      <c r="B148" s="39">
        <v>0.32790000000000002</v>
      </c>
    </row>
    <row r="149" spans="1:2" x14ac:dyDescent="0.2">
      <c r="A149" s="39">
        <v>1.47</v>
      </c>
      <c r="B149" s="39">
        <v>0.32450000000000001</v>
      </c>
    </row>
    <row r="150" spans="1:2" x14ac:dyDescent="0.2">
      <c r="A150" s="39">
        <v>1.48</v>
      </c>
      <c r="B150" s="39">
        <v>0.3211</v>
      </c>
    </row>
    <row r="151" spans="1:2" x14ac:dyDescent="0.2">
      <c r="A151" s="39">
        <v>1.49</v>
      </c>
      <c r="B151" s="39">
        <v>0.31780000000000003</v>
      </c>
    </row>
    <row r="152" spans="1:2" x14ac:dyDescent="0.2">
      <c r="A152" s="39">
        <v>1.5</v>
      </c>
      <c r="B152" s="39">
        <v>0.3145</v>
      </c>
    </row>
    <row r="153" spans="1:2" x14ac:dyDescent="0.2">
      <c r="A153" s="39">
        <v>1.51</v>
      </c>
      <c r="B153" s="39">
        <v>0.31130000000000002</v>
      </c>
    </row>
    <row r="154" spans="1:2" x14ac:dyDescent="0.2">
      <c r="A154" s="39">
        <v>1.52</v>
      </c>
      <c r="B154" s="39">
        <v>0.30809999999999998</v>
      </c>
    </row>
    <row r="155" spans="1:2" x14ac:dyDescent="0.2">
      <c r="A155" s="39">
        <v>1.53</v>
      </c>
      <c r="B155" s="39">
        <v>0.30499999999999999</v>
      </c>
    </row>
    <row r="156" spans="1:2" x14ac:dyDescent="0.2">
      <c r="A156" s="39">
        <v>1.54</v>
      </c>
      <c r="B156" s="39">
        <v>0.3019</v>
      </c>
    </row>
    <row r="157" spans="1:2" x14ac:dyDescent="0.2">
      <c r="A157" s="39">
        <v>1.55</v>
      </c>
      <c r="B157" s="39">
        <v>0.2989</v>
      </c>
    </row>
    <row r="158" spans="1:2" x14ac:dyDescent="0.2">
      <c r="A158" s="39">
        <v>1.56</v>
      </c>
      <c r="B158" s="39">
        <v>0.2959</v>
      </c>
    </row>
    <row r="159" spans="1:2" x14ac:dyDescent="0.2">
      <c r="A159" s="39">
        <v>1.57</v>
      </c>
      <c r="B159" s="39">
        <v>0.29289999999999999</v>
      </c>
    </row>
    <row r="160" spans="1:2" x14ac:dyDescent="0.2">
      <c r="A160" s="39">
        <v>1.58</v>
      </c>
      <c r="B160" s="39">
        <v>0.28999999999999998</v>
      </c>
    </row>
    <row r="161" spans="1:2" x14ac:dyDescent="0.2">
      <c r="A161" s="39">
        <v>1.59</v>
      </c>
      <c r="B161" s="39">
        <v>0.28710000000000002</v>
      </c>
    </row>
    <row r="162" spans="1:2" x14ac:dyDescent="0.2">
      <c r="A162" s="39">
        <v>1.6</v>
      </c>
      <c r="B162" s="39">
        <v>0.28420000000000001</v>
      </c>
    </row>
    <row r="163" spans="1:2" x14ac:dyDescent="0.2">
      <c r="A163" s="39">
        <v>1.61</v>
      </c>
      <c r="B163" s="39">
        <v>0.28139999999999998</v>
      </c>
    </row>
    <row r="164" spans="1:2" x14ac:dyDescent="0.2">
      <c r="A164" s="39">
        <v>1.62</v>
      </c>
      <c r="B164" s="39">
        <v>0.27860000000000001</v>
      </c>
    </row>
    <row r="165" spans="1:2" x14ac:dyDescent="0.2">
      <c r="A165" s="39">
        <v>1.63</v>
      </c>
      <c r="B165" s="39">
        <v>0.27589999999999998</v>
      </c>
    </row>
    <row r="166" spans="1:2" x14ac:dyDescent="0.2">
      <c r="A166" s="39">
        <v>1.64</v>
      </c>
      <c r="B166" s="39">
        <v>0.2732</v>
      </c>
    </row>
    <row r="167" spans="1:2" x14ac:dyDescent="0.2">
      <c r="A167" s="39">
        <v>1.65</v>
      </c>
      <c r="B167" s="39">
        <v>0.27050000000000002</v>
      </c>
    </row>
    <row r="168" spans="1:2" x14ac:dyDescent="0.2">
      <c r="A168" s="39">
        <v>1.66</v>
      </c>
      <c r="B168" s="39">
        <v>0.26790000000000003</v>
      </c>
    </row>
    <row r="169" spans="1:2" x14ac:dyDescent="0.2">
      <c r="A169" s="39">
        <v>1.67</v>
      </c>
      <c r="B169" s="39">
        <v>0.26529999999999998</v>
      </c>
    </row>
    <row r="170" spans="1:2" x14ac:dyDescent="0.2">
      <c r="A170" s="39">
        <v>1.68</v>
      </c>
      <c r="B170" s="39">
        <v>0.26269999999999999</v>
      </c>
    </row>
    <row r="171" spans="1:2" x14ac:dyDescent="0.2">
      <c r="A171" s="39">
        <v>1.69</v>
      </c>
      <c r="B171" s="39">
        <v>0.26019999999999999</v>
      </c>
    </row>
    <row r="172" spans="1:2" x14ac:dyDescent="0.2">
      <c r="A172" s="39">
        <v>1.7</v>
      </c>
      <c r="B172" s="39">
        <v>0.25769999999999998</v>
      </c>
    </row>
    <row r="173" spans="1:2" x14ac:dyDescent="0.2">
      <c r="A173" s="39">
        <v>1.71</v>
      </c>
      <c r="B173" s="39">
        <v>0.25530000000000003</v>
      </c>
    </row>
    <row r="174" spans="1:2" x14ac:dyDescent="0.2">
      <c r="A174" s="39">
        <v>1.72</v>
      </c>
      <c r="B174" s="39">
        <v>0.25280000000000002</v>
      </c>
    </row>
    <row r="175" spans="1:2" x14ac:dyDescent="0.2">
      <c r="A175" s="39">
        <v>1.73</v>
      </c>
      <c r="B175" s="39">
        <v>0.25040000000000001</v>
      </c>
    </row>
    <row r="176" spans="1:2" x14ac:dyDescent="0.2">
      <c r="A176" s="39">
        <v>1.74</v>
      </c>
      <c r="B176" s="39">
        <v>0.24809999999999999</v>
      </c>
    </row>
    <row r="177" spans="1:2" x14ac:dyDescent="0.2">
      <c r="A177" s="39">
        <v>1.75</v>
      </c>
      <c r="B177" s="39">
        <v>0.2457</v>
      </c>
    </row>
    <row r="178" spans="1:2" x14ac:dyDescent="0.2">
      <c r="A178" s="39">
        <v>1.76</v>
      </c>
      <c r="B178" s="39">
        <v>0.24340000000000001</v>
      </c>
    </row>
    <row r="179" spans="1:2" x14ac:dyDescent="0.2">
      <c r="A179" s="39">
        <v>1.77</v>
      </c>
      <c r="B179" s="39">
        <v>0.2412</v>
      </c>
    </row>
    <row r="180" spans="1:2" x14ac:dyDescent="0.2">
      <c r="A180" s="39">
        <v>1.78</v>
      </c>
      <c r="B180" s="39">
        <v>0.2389</v>
      </c>
    </row>
    <row r="181" spans="1:2" x14ac:dyDescent="0.2">
      <c r="A181" s="39">
        <v>1.79</v>
      </c>
      <c r="B181" s="39">
        <v>0.23669999999999999</v>
      </c>
    </row>
    <row r="182" spans="1:2" x14ac:dyDescent="0.2">
      <c r="A182" s="39">
        <v>1.8</v>
      </c>
      <c r="B182" s="39">
        <v>0.23449999999999999</v>
      </c>
    </row>
    <row r="183" spans="1:2" x14ac:dyDescent="0.2">
      <c r="A183" s="39">
        <v>1.81</v>
      </c>
      <c r="B183" s="39">
        <v>0.2324</v>
      </c>
    </row>
    <row r="184" spans="1:2" x14ac:dyDescent="0.2">
      <c r="A184" s="39">
        <v>1.82</v>
      </c>
      <c r="B184" s="39">
        <v>0.23019999999999999</v>
      </c>
    </row>
    <row r="185" spans="1:2" x14ac:dyDescent="0.2">
      <c r="A185" s="39">
        <v>1.83</v>
      </c>
      <c r="B185" s="39">
        <v>0.2281</v>
      </c>
    </row>
    <row r="186" spans="1:2" x14ac:dyDescent="0.2">
      <c r="A186" s="39">
        <v>1.84</v>
      </c>
      <c r="B186" s="39">
        <v>0.22600000000000001</v>
      </c>
    </row>
    <row r="187" spans="1:2" x14ac:dyDescent="0.2">
      <c r="A187" s="39">
        <v>1.85</v>
      </c>
      <c r="B187" s="39">
        <v>0.224</v>
      </c>
    </row>
    <row r="188" spans="1:2" x14ac:dyDescent="0.2">
      <c r="A188" s="39">
        <v>1.86</v>
      </c>
      <c r="B188" s="39">
        <v>0.222</v>
      </c>
    </row>
    <row r="189" spans="1:2" x14ac:dyDescent="0.2">
      <c r="A189" s="39">
        <v>1.87</v>
      </c>
      <c r="B189" s="39">
        <v>0.22</v>
      </c>
    </row>
    <row r="190" spans="1:2" x14ac:dyDescent="0.2">
      <c r="A190" s="39">
        <v>1.88</v>
      </c>
      <c r="B190" s="39">
        <v>0.218</v>
      </c>
    </row>
    <row r="191" spans="1:2" x14ac:dyDescent="0.2">
      <c r="A191" s="39">
        <v>1.89</v>
      </c>
      <c r="B191" s="39">
        <v>0.21609999999999999</v>
      </c>
    </row>
    <row r="192" spans="1:2" x14ac:dyDescent="0.2">
      <c r="A192" s="39">
        <v>1.9</v>
      </c>
      <c r="B192" s="39">
        <v>0.21410000000000001</v>
      </c>
    </row>
    <row r="193" spans="1:2" x14ac:dyDescent="0.2">
      <c r="A193" s="39">
        <v>1.91</v>
      </c>
      <c r="B193" s="39">
        <v>0.2122</v>
      </c>
    </row>
    <row r="194" spans="1:2" x14ac:dyDescent="0.2">
      <c r="A194" s="39">
        <v>1.92</v>
      </c>
      <c r="B194" s="39">
        <v>0.2104</v>
      </c>
    </row>
    <row r="195" spans="1:2" x14ac:dyDescent="0.2">
      <c r="A195" s="39">
        <v>1.93</v>
      </c>
      <c r="B195" s="39">
        <v>0.20849999999999999</v>
      </c>
    </row>
    <row r="196" spans="1:2" x14ac:dyDescent="0.2">
      <c r="A196" s="39">
        <v>1.94</v>
      </c>
      <c r="B196" s="39">
        <v>0.20669999999999999</v>
      </c>
    </row>
    <row r="197" spans="1:2" x14ac:dyDescent="0.2">
      <c r="A197" s="39">
        <v>1.95</v>
      </c>
      <c r="B197" s="39">
        <v>0.2049</v>
      </c>
    </row>
    <row r="198" spans="1:2" x14ac:dyDescent="0.2">
      <c r="A198" s="39">
        <v>1.96</v>
      </c>
      <c r="B198" s="39">
        <v>0.2031</v>
      </c>
    </row>
    <row r="199" spans="1:2" x14ac:dyDescent="0.2">
      <c r="A199" s="39">
        <v>1.97</v>
      </c>
      <c r="B199" s="39">
        <v>0.20130000000000001</v>
      </c>
    </row>
    <row r="200" spans="1:2" x14ac:dyDescent="0.2">
      <c r="A200" s="39">
        <v>1.98</v>
      </c>
      <c r="B200" s="39">
        <v>0.1996</v>
      </c>
    </row>
    <row r="201" spans="1:2" x14ac:dyDescent="0.2">
      <c r="A201" s="39">
        <v>1.99</v>
      </c>
      <c r="B201" s="39">
        <v>0.19789999999999999</v>
      </c>
    </row>
    <row r="202" spans="1:2" x14ac:dyDescent="0.2">
      <c r="A202" s="39">
        <v>2</v>
      </c>
      <c r="B202" s="39">
        <v>0.19620000000000001</v>
      </c>
    </row>
    <row r="203" spans="1:2" x14ac:dyDescent="0.2">
      <c r="A203" s="39">
        <v>2.0099999999999998</v>
      </c>
      <c r="B203" s="39">
        <v>0.19450000000000001</v>
      </c>
    </row>
    <row r="204" spans="1:2" x14ac:dyDescent="0.2">
      <c r="A204" s="39">
        <v>2.02</v>
      </c>
      <c r="B204" s="39">
        <v>0.19289999999999999</v>
      </c>
    </row>
    <row r="205" spans="1:2" x14ac:dyDescent="0.2">
      <c r="A205" s="39">
        <v>2.0299999999999998</v>
      </c>
      <c r="B205" s="39">
        <v>0.19120000000000001</v>
      </c>
    </row>
    <row r="206" spans="1:2" x14ac:dyDescent="0.2">
      <c r="A206" s="39">
        <v>2.04</v>
      </c>
      <c r="B206" s="39">
        <v>0.18959999999999999</v>
      </c>
    </row>
    <row r="207" spans="1:2" x14ac:dyDescent="0.2">
      <c r="A207" s="39">
        <v>2.0499999999999998</v>
      </c>
      <c r="B207" s="39">
        <v>0.188</v>
      </c>
    </row>
    <row r="208" spans="1:2" x14ac:dyDescent="0.2">
      <c r="A208" s="39">
        <v>2.06</v>
      </c>
      <c r="B208" s="39">
        <v>0.18640000000000001</v>
      </c>
    </row>
    <row r="209" spans="1:2" x14ac:dyDescent="0.2">
      <c r="A209" s="39">
        <v>2.0699999999999998</v>
      </c>
      <c r="B209" s="39">
        <v>0.18490000000000001</v>
      </c>
    </row>
    <row r="210" spans="1:2" x14ac:dyDescent="0.2">
      <c r="A210" s="39">
        <v>2.08</v>
      </c>
      <c r="B210" s="39">
        <v>0.18329999999999999</v>
      </c>
    </row>
    <row r="211" spans="1:2" x14ac:dyDescent="0.2">
      <c r="A211" s="39">
        <v>2.09</v>
      </c>
      <c r="B211" s="39">
        <v>0.18179999999999999</v>
      </c>
    </row>
    <row r="212" spans="1:2" x14ac:dyDescent="0.2">
      <c r="A212" s="39">
        <v>2.1</v>
      </c>
      <c r="B212" s="39">
        <v>0.18029999999999999</v>
      </c>
    </row>
    <row r="213" spans="1:2" x14ac:dyDescent="0.2">
      <c r="A213" s="39">
        <v>2.11</v>
      </c>
      <c r="B213" s="39">
        <v>0.17879999999999999</v>
      </c>
    </row>
    <row r="214" spans="1:2" x14ac:dyDescent="0.2">
      <c r="A214" s="39">
        <v>2.12</v>
      </c>
      <c r="B214" s="39">
        <v>0.1774</v>
      </c>
    </row>
    <row r="215" spans="1:2" x14ac:dyDescent="0.2">
      <c r="A215" s="39">
        <v>2.13</v>
      </c>
      <c r="B215" s="39">
        <v>0.1759</v>
      </c>
    </row>
    <row r="216" spans="1:2" x14ac:dyDescent="0.2">
      <c r="A216" s="39">
        <v>2.14</v>
      </c>
      <c r="B216" s="39">
        <v>0.17449999999999999</v>
      </c>
    </row>
    <row r="217" spans="1:2" x14ac:dyDescent="0.2">
      <c r="A217" s="39">
        <v>2.15</v>
      </c>
      <c r="B217" s="39">
        <v>0.1731</v>
      </c>
    </row>
    <row r="218" spans="1:2" x14ac:dyDescent="0.2">
      <c r="A218" s="39">
        <v>2.16</v>
      </c>
      <c r="B218" s="39">
        <v>0.17169999999999999</v>
      </c>
    </row>
    <row r="219" spans="1:2" x14ac:dyDescent="0.2">
      <c r="A219" s="39">
        <v>2.17</v>
      </c>
      <c r="B219" s="39">
        <v>0.17030000000000001</v>
      </c>
    </row>
    <row r="220" spans="1:2" x14ac:dyDescent="0.2">
      <c r="A220" s="39">
        <v>2.1800000000000002</v>
      </c>
      <c r="B220" s="39">
        <v>0.16889999999999999</v>
      </c>
    </row>
    <row r="221" spans="1:2" x14ac:dyDescent="0.2">
      <c r="A221" s="39">
        <v>2.19</v>
      </c>
      <c r="B221" s="39">
        <v>0.1676</v>
      </c>
    </row>
    <row r="222" spans="1:2" x14ac:dyDescent="0.2">
      <c r="A222" s="39">
        <v>2.2000000000000002</v>
      </c>
      <c r="B222" s="39">
        <v>0.16619999999999999</v>
      </c>
    </row>
    <row r="223" spans="1:2" x14ac:dyDescent="0.2">
      <c r="A223" s="39">
        <v>2.21</v>
      </c>
      <c r="B223" s="39">
        <v>0.16489999999999999</v>
      </c>
    </row>
    <row r="224" spans="1:2" x14ac:dyDescent="0.2">
      <c r="A224" s="39">
        <v>2.2200000000000002</v>
      </c>
      <c r="B224" s="39">
        <v>0.1636</v>
      </c>
    </row>
    <row r="225" spans="1:2" x14ac:dyDescent="0.2">
      <c r="A225" s="39">
        <v>2.23</v>
      </c>
      <c r="B225" s="39">
        <v>0.1623</v>
      </c>
    </row>
    <row r="226" spans="1:2" x14ac:dyDescent="0.2">
      <c r="A226" s="39">
        <v>2.2400000000000002</v>
      </c>
      <c r="B226" s="39">
        <v>0.16109999999999999</v>
      </c>
    </row>
    <row r="227" spans="1:2" x14ac:dyDescent="0.2">
      <c r="A227" s="39">
        <v>2.25</v>
      </c>
      <c r="B227" s="39">
        <v>0.1598</v>
      </c>
    </row>
    <row r="228" spans="1:2" x14ac:dyDescent="0.2">
      <c r="A228" s="39">
        <v>2.2599999999999998</v>
      </c>
      <c r="B228" s="39">
        <v>0.1585</v>
      </c>
    </row>
    <row r="229" spans="1:2" x14ac:dyDescent="0.2">
      <c r="A229" s="39">
        <v>2.27</v>
      </c>
      <c r="B229" s="39">
        <v>0.1573</v>
      </c>
    </row>
    <row r="230" spans="1:2" x14ac:dyDescent="0.2">
      <c r="A230" s="39">
        <v>2.2799999999999998</v>
      </c>
      <c r="B230" s="39">
        <v>0.15609999999999999</v>
      </c>
    </row>
    <row r="231" spans="1:2" x14ac:dyDescent="0.2">
      <c r="A231" s="39">
        <v>2.29</v>
      </c>
      <c r="B231" s="39">
        <v>0.15490000000000001</v>
      </c>
    </row>
    <row r="232" spans="1:2" x14ac:dyDescent="0.2">
      <c r="A232" s="39">
        <v>2.2999999999999998</v>
      </c>
      <c r="B232" s="39">
        <v>0.1537</v>
      </c>
    </row>
    <row r="233" spans="1:2" x14ac:dyDescent="0.2">
      <c r="A233" s="39">
        <v>2.31</v>
      </c>
      <c r="B233" s="39">
        <v>0.1525</v>
      </c>
    </row>
    <row r="234" spans="1:2" x14ac:dyDescent="0.2">
      <c r="A234" s="39">
        <v>2.3199999999999998</v>
      </c>
      <c r="B234" s="39">
        <v>0.15140000000000001</v>
      </c>
    </row>
    <row r="235" spans="1:2" x14ac:dyDescent="0.2">
      <c r="A235" s="39">
        <v>2.33</v>
      </c>
      <c r="B235" s="39">
        <v>0.1502</v>
      </c>
    </row>
    <row r="236" spans="1:2" x14ac:dyDescent="0.2">
      <c r="A236" s="39">
        <v>2.34</v>
      </c>
      <c r="B236" s="39">
        <v>0.14910000000000001</v>
      </c>
    </row>
    <row r="237" spans="1:2" x14ac:dyDescent="0.2">
      <c r="A237" s="39">
        <v>2.35</v>
      </c>
      <c r="B237" s="39">
        <v>0.14799999999999999</v>
      </c>
    </row>
    <row r="238" spans="1:2" x14ac:dyDescent="0.2">
      <c r="A238" s="39">
        <v>2.36</v>
      </c>
      <c r="B238" s="39">
        <v>0.14680000000000001</v>
      </c>
    </row>
    <row r="239" spans="1:2" x14ac:dyDescent="0.2">
      <c r="A239" s="39">
        <v>2.37</v>
      </c>
      <c r="B239" s="39">
        <v>0.1457</v>
      </c>
    </row>
    <row r="240" spans="1:2" x14ac:dyDescent="0.2">
      <c r="A240" s="39">
        <v>2.38</v>
      </c>
      <c r="B240" s="39">
        <v>0.14460000000000001</v>
      </c>
    </row>
    <row r="241" spans="1:2" x14ac:dyDescent="0.2">
      <c r="A241" s="39">
        <v>2.39</v>
      </c>
      <c r="B241" s="39">
        <v>0.14360000000000001</v>
      </c>
    </row>
    <row r="242" spans="1:2" x14ac:dyDescent="0.2">
      <c r="A242" s="39">
        <v>2.4</v>
      </c>
      <c r="B242" s="39">
        <v>0.14249999999999999</v>
      </c>
    </row>
    <row r="243" spans="1:2" x14ac:dyDescent="0.2">
      <c r="A243" s="39">
        <v>2.41</v>
      </c>
      <c r="B243" s="39">
        <v>0.14149999999999999</v>
      </c>
    </row>
    <row r="244" spans="1:2" x14ac:dyDescent="0.2">
      <c r="A244" s="39">
        <v>2.42</v>
      </c>
      <c r="B244" s="39">
        <v>0.1404</v>
      </c>
    </row>
    <row r="245" spans="1:2" x14ac:dyDescent="0.2">
      <c r="A245" s="39">
        <v>2.4300000000000002</v>
      </c>
      <c r="B245" s="39">
        <v>0.1394</v>
      </c>
    </row>
    <row r="246" spans="1:2" x14ac:dyDescent="0.2">
      <c r="A246" s="39">
        <v>2.44</v>
      </c>
      <c r="B246" s="39">
        <v>0.1384</v>
      </c>
    </row>
    <row r="247" spans="1:2" x14ac:dyDescent="0.2">
      <c r="A247" s="39">
        <v>2.4500000000000002</v>
      </c>
      <c r="B247" s="39">
        <v>0.13739999999999999</v>
      </c>
    </row>
    <row r="248" spans="1:2" x14ac:dyDescent="0.2">
      <c r="A248" s="39">
        <v>2.46</v>
      </c>
      <c r="B248" s="39">
        <v>0.13639999999999999</v>
      </c>
    </row>
    <row r="249" spans="1:2" x14ac:dyDescent="0.2">
      <c r="A249" s="39">
        <v>2.4700000000000002</v>
      </c>
      <c r="B249" s="39">
        <v>0.13539999999999999</v>
      </c>
    </row>
    <row r="250" spans="1:2" x14ac:dyDescent="0.2">
      <c r="A250" s="39">
        <v>2.48</v>
      </c>
      <c r="B250" s="39">
        <v>0.13439999999999999</v>
      </c>
    </row>
    <row r="251" spans="1:2" x14ac:dyDescent="0.2">
      <c r="A251" s="39">
        <v>2.4900000000000002</v>
      </c>
      <c r="B251" s="39">
        <v>0.13339999999999999</v>
      </c>
    </row>
    <row r="252" spans="1:2" x14ac:dyDescent="0.2">
      <c r="A252" s="39">
        <v>2.5</v>
      </c>
      <c r="B252" s="39">
        <v>0.13250000000000001</v>
      </c>
    </row>
    <row r="253" spans="1:2" x14ac:dyDescent="0.2">
      <c r="A253" s="39">
        <v>2.5099999999999998</v>
      </c>
      <c r="B253" s="39">
        <v>0.13150000000000001</v>
      </c>
    </row>
    <row r="254" spans="1:2" x14ac:dyDescent="0.2">
      <c r="A254" s="39">
        <v>2.52</v>
      </c>
      <c r="B254" s="39">
        <v>0.13059999999999999</v>
      </c>
    </row>
    <row r="255" spans="1:2" x14ac:dyDescent="0.2">
      <c r="A255" s="39">
        <v>2.5299999999999998</v>
      </c>
      <c r="B255" s="39">
        <v>0.12970000000000001</v>
      </c>
    </row>
    <row r="256" spans="1:2" x14ac:dyDescent="0.2">
      <c r="A256" s="39">
        <v>2.54</v>
      </c>
      <c r="B256" s="39">
        <v>0.12870000000000001</v>
      </c>
    </row>
    <row r="257" spans="1:2" x14ac:dyDescent="0.2">
      <c r="A257" s="39">
        <v>2.5499999999999998</v>
      </c>
      <c r="B257" s="39">
        <v>0.1278</v>
      </c>
    </row>
    <row r="258" spans="1:2" x14ac:dyDescent="0.2">
      <c r="A258" s="39">
        <v>2.56</v>
      </c>
      <c r="B258" s="39">
        <v>0.12690000000000001</v>
      </c>
    </row>
    <row r="259" spans="1:2" x14ac:dyDescent="0.2">
      <c r="A259" s="39">
        <v>2.57</v>
      </c>
      <c r="B259" s="39">
        <v>0.126</v>
      </c>
    </row>
    <row r="260" spans="1:2" x14ac:dyDescent="0.2">
      <c r="A260" s="39">
        <v>2.58</v>
      </c>
      <c r="B260" s="39">
        <v>0.12520000000000001</v>
      </c>
    </row>
    <row r="261" spans="1:2" x14ac:dyDescent="0.2">
      <c r="A261" s="39">
        <v>2.59</v>
      </c>
      <c r="B261" s="39">
        <v>0.12429999999999999</v>
      </c>
    </row>
    <row r="262" spans="1:2" x14ac:dyDescent="0.2">
      <c r="A262" s="39">
        <v>2.6</v>
      </c>
      <c r="B262" s="39">
        <v>0.1234</v>
      </c>
    </row>
    <row r="263" spans="1:2" x14ac:dyDescent="0.2">
      <c r="A263" s="39">
        <v>2.61</v>
      </c>
      <c r="B263" s="39">
        <v>0.1226</v>
      </c>
    </row>
    <row r="264" spans="1:2" x14ac:dyDescent="0.2">
      <c r="A264" s="39">
        <v>2.62</v>
      </c>
      <c r="B264" s="39">
        <v>0.1217</v>
      </c>
    </row>
    <row r="265" spans="1:2" x14ac:dyDescent="0.2">
      <c r="A265" s="39">
        <v>2.63</v>
      </c>
      <c r="B265" s="39">
        <v>0.12089999999999999</v>
      </c>
    </row>
    <row r="266" spans="1:2" x14ac:dyDescent="0.2">
      <c r="A266" s="39">
        <v>2.64</v>
      </c>
      <c r="B266" s="39">
        <v>0.1201</v>
      </c>
    </row>
    <row r="267" spans="1:2" x14ac:dyDescent="0.2">
      <c r="A267" s="39">
        <v>2.65</v>
      </c>
      <c r="B267" s="39">
        <v>0.1193</v>
      </c>
    </row>
    <row r="268" spans="1:2" x14ac:dyDescent="0.2">
      <c r="A268" s="39">
        <v>2.66</v>
      </c>
      <c r="B268" s="39">
        <v>0.11840000000000001</v>
      </c>
    </row>
    <row r="269" spans="1:2" x14ac:dyDescent="0.2">
      <c r="A269" s="39">
        <v>2.67</v>
      </c>
      <c r="B269" s="39">
        <v>0.1176</v>
      </c>
    </row>
    <row r="270" spans="1:2" x14ac:dyDescent="0.2">
      <c r="A270" s="39">
        <v>2.68</v>
      </c>
      <c r="B270" s="39">
        <v>0.1168</v>
      </c>
    </row>
    <row r="271" spans="1:2" x14ac:dyDescent="0.2">
      <c r="A271" s="39">
        <v>2.69</v>
      </c>
      <c r="B271" s="39">
        <v>0.11609999999999999</v>
      </c>
    </row>
    <row r="272" spans="1:2" x14ac:dyDescent="0.2">
      <c r="A272" s="39">
        <v>2.7</v>
      </c>
      <c r="B272" s="39">
        <v>0.1153</v>
      </c>
    </row>
    <row r="273" spans="1:2" x14ac:dyDescent="0.2">
      <c r="A273" s="39">
        <v>2.71</v>
      </c>
      <c r="B273" s="39">
        <v>0.1145</v>
      </c>
    </row>
    <row r="274" spans="1:2" x14ac:dyDescent="0.2">
      <c r="A274" s="39">
        <v>2.72</v>
      </c>
      <c r="B274" s="39">
        <v>0.1137</v>
      </c>
    </row>
    <row r="275" spans="1:2" x14ac:dyDescent="0.2">
      <c r="A275" s="39">
        <v>2.73</v>
      </c>
      <c r="B275" s="39">
        <v>0.113</v>
      </c>
    </row>
    <row r="276" spans="1:2" x14ac:dyDescent="0.2">
      <c r="A276" s="39">
        <v>2.74</v>
      </c>
      <c r="B276" s="39">
        <v>0.11219999999999999</v>
      </c>
    </row>
    <row r="277" spans="1:2" x14ac:dyDescent="0.2">
      <c r="A277" s="39">
        <v>2.75</v>
      </c>
      <c r="B277" s="39">
        <v>0.1115</v>
      </c>
    </row>
    <row r="278" spans="1:2" x14ac:dyDescent="0.2">
      <c r="A278" s="39">
        <v>2.76</v>
      </c>
      <c r="B278" s="39">
        <v>0.1108</v>
      </c>
    </row>
    <row r="279" spans="1:2" x14ac:dyDescent="0.2">
      <c r="A279" s="39">
        <v>2.77</v>
      </c>
      <c r="B279" s="39">
        <v>0.11</v>
      </c>
    </row>
    <row r="280" spans="1:2" x14ac:dyDescent="0.2">
      <c r="A280" s="39">
        <v>2.78</v>
      </c>
      <c r="B280" s="39">
        <v>0.10929999999999999</v>
      </c>
    </row>
    <row r="281" spans="1:2" x14ac:dyDescent="0.2">
      <c r="A281" s="39">
        <v>2.79</v>
      </c>
      <c r="B281" s="39">
        <v>0.1086</v>
      </c>
    </row>
    <row r="282" spans="1:2" x14ac:dyDescent="0.2">
      <c r="A282" s="39">
        <v>2.8</v>
      </c>
      <c r="B282" s="39">
        <v>0.1079</v>
      </c>
    </row>
    <row r="283" spans="1:2" x14ac:dyDescent="0.2">
      <c r="A283" s="39">
        <v>2.81</v>
      </c>
      <c r="B283" s="39">
        <v>0.1072</v>
      </c>
    </row>
    <row r="284" spans="1:2" x14ac:dyDescent="0.2">
      <c r="A284" s="39">
        <v>2.82</v>
      </c>
      <c r="B284" s="39">
        <v>0.1065</v>
      </c>
    </row>
    <row r="285" spans="1:2" x14ac:dyDescent="0.2">
      <c r="A285" s="39">
        <v>2.83</v>
      </c>
      <c r="B285" s="39">
        <v>0.10580000000000001</v>
      </c>
    </row>
    <row r="286" spans="1:2" x14ac:dyDescent="0.2">
      <c r="A286" s="39">
        <v>2.84</v>
      </c>
      <c r="B286" s="39">
        <v>0.1051</v>
      </c>
    </row>
    <row r="287" spans="1:2" x14ac:dyDescent="0.2">
      <c r="A287" s="39">
        <v>2.85</v>
      </c>
      <c r="B287" s="39">
        <v>0.1045</v>
      </c>
    </row>
    <row r="288" spans="1:2" x14ac:dyDescent="0.2">
      <c r="A288" s="39">
        <v>2.86</v>
      </c>
      <c r="B288" s="39">
        <v>0.1038</v>
      </c>
    </row>
    <row r="289" spans="1:2" x14ac:dyDescent="0.2">
      <c r="A289" s="39">
        <v>2.87</v>
      </c>
      <c r="B289" s="39">
        <v>0.1031</v>
      </c>
    </row>
    <row r="290" spans="1:2" x14ac:dyDescent="0.2">
      <c r="A290" s="39">
        <v>2.88</v>
      </c>
      <c r="B290" s="39">
        <v>0.10249999999999999</v>
      </c>
    </row>
    <row r="291" spans="1:2" x14ac:dyDescent="0.2">
      <c r="A291" s="39">
        <v>2.89</v>
      </c>
      <c r="B291" s="39">
        <v>0.1018</v>
      </c>
    </row>
    <row r="292" spans="1:2" x14ac:dyDescent="0.2">
      <c r="A292" s="39">
        <v>2.9</v>
      </c>
      <c r="B292" s="39">
        <v>0.1012</v>
      </c>
    </row>
    <row r="293" spans="1:2" x14ac:dyDescent="0.2">
      <c r="A293" s="39">
        <v>2.91</v>
      </c>
      <c r="B293" s="39">
        <v>0.10059999999999999</v>
      </c>
    </row>
    <row r="294" spans="1:2" x14ac:dyDescent="0.2">
      <c r="A294" s="39">
        <v>2.92</v>
      </c>
      <c r="B294" s="39">
        <v>9.9900000000000003E-2</v>
      </c>
    </row>
    <row r="295" spans="1:2" x14ac:dyDescent="0.2">
      <c r="A295" s="39">
        <v>2.93</v>
      </c>
      <c r="B295" s="39">
        <v>9.9299999999999999E-2</v>
      </c>
    </row>
    <row r="296" spans="1:2" x14ac:dyDescent="0.2">
      <c r="A296" s="39">
        <v>2.94</v>
      </c>
      <c r="B296" s="39">
        <v>9.8699999999999996E-2</v>
      </c>
    </row>
    <row r="297" spans="1:2" x14ac:dyDescent="0.2">
      <c r="A297" s="39">
        <v>2.95</v>
      </c>
      <c r="B297" s="39">
        <v>9.8100000000000007E-2</v>
      </c>
    </row>
    <row r="298" spans="1:2" x14ac:dyDescent="0.2">
      <c r="A298" s="39">
        <v>2.96</v>
      </c>
      <c r="B298" s="39">
        <v>9.7500000000000003E-2</v>
      </c>
    </row>
    <row r="299" spans="1:2" x14ac:dyDescent="0.2">
      <c r="A299" s="39">
        <v>2.97</v>
      </c>
      <c r="B299" s="39">
        <v>9.69E-2</v>
      </c>
    </row>
    <row r="300" spans="1:2" x14ac:dyDescent="0.2">
      <c r="A300" s="39">
        <v>2.98</v>
      </c>
      <c r="B300" s="39">
        <v>9.6299999999999997E-2</v>
      </c>
    </row>
    <row r="301" spans="1:2" x14ac:dyDescent="0.2">
      <c r="A301" s="39">
        <v>2.99</v>
      </c>
      <c r="B301" s="39">
        <v>9.5699999999999993E-2</v>
      </c>
    </row>
    <row r="302" spans="1:2" x14ac:dyDescent="0.2">
      <c r="A302" s="39">
        <v>3</v>
      </c>
      <c r="B302" s="39">
        <v>9.5100000000000004E-2</v>
      </c>
    </row>
    <row r="303" spans="1:2" x14ac:dyDescent="0.2">
      <c r="A303" s="39">
        <v>3.01</v>
      </c>
      <c r="B303" s="39">
        <v>9.4500000000000001E-2</v>
      </c>
    </row>
    <row r="304" spans="1:2" x14ac:dyDescent="0.2">
      <c r="A304" s="39">
        <v>3.02</v>
      </c>
      <c r="B304" s="39">
        <v>9.3899999999999997E-2</v>
      </c>
    </row>
    <row r="305" spans="1:2" x14ac:dyDescent="0.2">
      <c r="A305" s="39">
        <v>3.03</v>
      </c>
      <c r="B305" s="39">
        <v>9.3399999999999997E-2</v>
      </c>
    </row>
    <row r="306" spans="1:2" x14ac:dyDescent="0.2">
      <c r="A306" s="39">
        <v>3.04</v>
      </c>
      <c r="B306" s="39">
        <v>9.2799999999999994E-2</v>
      </c>
    </row>
    <row r="307" spans="1:2" x14ac:dyDescent="0.2">
      <c r="A307" s="39">
        <v>3.05</v>
      </c>
      <c r="B307" s="39">
        <v>9.2200000000000004E-2</v>
      </c>
    </row>
    <row r="308" spans="1:2" x14ac:dyDescent="0.2">
      <c r="A308" s="39">
        <v>3.06</v>
      </c>
      <c r="B308" s="39">
        <v>9.1700000000000004E-2</v>
      </c>
    </row>
    <row r="309" spans="1:2" x14ac:dyDescent="0.2">
      <c r="A309" s="39">
        <v>3.07</v>
      </c>
      <c r="B309" s="39">
        <v>9.11E-2</v>
      </c>
    </row>
    <row r="310" spans="1:2" x14ac:dyDescent="0.2">
      <c r="A310" s="39">
        <v>3.08</v>
      </c>
      <c r="B310" s="39">
        <v>9.06E-2</v>
      </c>
    </row>
    <row r="311" spans="1:2" x14ac:dyDescent="0.2">
      <c r="A311" s="39">
        <v>3.09</v>
      </c>
      <c r="B311" s="39">
        <v>9.01E-2</v>
      </c>
    </row>
    <row r="312" spans="1:2" x14ac:dyDescent="0.2">
      <c r="A312" s="39">
        <v>3.1</v>
      </c>
      <c r="B312" s="39">
        <v>8.9499999999999996E-2</v>
      </c>
    </row>
    <row r="313" spans="1:2" x14ac:dyDescent="0.2">
      <c r="A313" s="39">
        <v>3.11</v>
      </c>
      <c r="B313" s="39">
        <v>8.8999999999999996E-2</v>
      </c>
    </row>
    <row r="314" spans="1:2" x14ac:dyDescent="0.2">
      <c r="A314" s="39">
        <v>3.12</v>
      </c>
      <c r="B314" s="39">
        <v>8.8499999999999995E-2</v>
      </c>
    </row>
    <row r="315" spans="1:2" x14ac:dyDescent="0.2">
      <c r="A315" s="39">
        <v>3.13</v>
      </c>
      <c r="B315" s="39">
        <v>8.7900000000000006E-2</v>
      </c>
    </row>
    <row r="316" spans="1:2" x14ac:dyDescent="0.2">
      <c r="A316" s="39">
        <v>3.14</v>
      </c>
      <c r="B316" s="39">
        <v>8.7400000000000005E-2</v>
      </c>
    </row>
    <row r="317" spans="1:2" x14ac:dyDescent="0.2">
      <c r="A317" s="39">
        <v>3.15</v>
      </c>
      <c r="B317" s="39">
        <v>8.6900000000000005E-2</v>
      </c>
    </row>
    <row r="318" spans="1:2" x14ac:dyDescent="0.2">
      <c r="A318" s="39">
        <v>3.16</v>
      </c>
      <c r="B318" s="39">
        <v>8.6400000000000005E-2</v>
      </c>
    </row>
    <row r="319" spans="1:2" x14ac:dyDescent="0.2">
      <c r="A319" s="39">
        <v>3.17</v>
      </c>
      <c r="B319" s="39">
        <v>8.5900000000000004E-2</v>
      </c>
    </row>
    <row r="320" spans="1:2" x14ac:dyDescent="0.2">
      <c r="A320" s="39">
        <v>3.18</v>
      </c>
      <c r="B320" s="39">
        <v>8.5400000000000004E-2</v>
      </c>
    </row>
    <row r="321" spans="1:2" x14ac:dyDescent="0.2">
      <c r="A321" s="39">
        <v>3.19</v>
      </c>
      <c r="B321" s="39">
        <v>8.4900000000000003E-2</v>
      </c>
    </row>
    <row r="322" spans="1:2" x14ac:dyDescent="0.2">
      <c r="A322" s="39">
        <v>3.2</v>
      </c>
      <c r="B322" s="39">
        <v>8.4400000000000003E-2</v>
      </c>
    </row>
    <row r="323" spans="1:2" x14ac:dyDescent="0.2">
      <c r="A323" s="39">
        <v>3.21</v>
      </c>
      <c r="B323" s="39">
        <v>8.3900000000000002E-2</v>
      </c>
    </row>
    <row r="324" spans="1:2" x14ac:dyDescent="0.2">
      <c r="A324" s="39">
        <v>3.22</v>
      </c>
      <c r="B324" s="39">
        <v>8.3500000000000005E-2</v>
      </c>
    </row>
    <row r="325" spans="1:2" x14ac:dyDescent="0.2">
      <c r="A325" s="39">
        <v>3.23</v>
      </c>
      <c r="B325" s="39">
        <v>8.3000000000000004E-2</v>
      </c>
    </row>
    <row r="326" spans="1:2" x14ac:dyDescent="0.2">
      <c r="A326" s="39">
        <v>3.24</v>
      </c>
      <c r="B326" s="39">
        <v>8.2500000000000004E-2</v>
      </c>
    </row>
    <row r="327" spans="1:2" x14ac:dyDescent="0.2">
      <c r="A327" s="39">
        <v>3.25</v>
      </c>
      <c r="B327" s="39">
        <v>8.2000000000000003E-2</v>
      </c>
    </row>
    <row r="328" spans="1:2" x14ac:dyDescent="0.2">
      <c r="A328" s="39">
        <v>3.26</v>
      </c>
      <c r="B328" s="39">
        <v>8.1600000000000006E-2</v>
      </c>
    </row>
    <row r="329" spans="1:2" x14ac:dyDescent="0.2">
      <c r="A329" s="39">
        <v>3.27</v>
      </c>
      <c r="B329" s="39">
        <v>8.1100000000000005E-2</v>
      </c>
    </row>
    <row r="330" spans="1:2" x14ac:dyDescent="0.2">
      <c r="A330" s="39">
        <v>3.28</v>
      </c>
      <c r="B330" s="39">
        <v>8.0600000000000005E-2</v>
      </c>
    </row>
    <row r="331" spans="1:2" x14ac:dyDescent="0.2">
      <c r="A331" s="39">
        <v>3.29</v>
      </c>
      <c r="B331" s="39">
        <v>8.0199999999999994E-2</v>
      </c>
    </row>
    <row r="332" spans="1:2" x14ac:dyDescent="0.2">
      <c r="A332" s="39">
        <v>3.3</v>
      </c>
      <c r="B332" s="39">
        <v>7.9699999999999993E-2</v>
      </c>
    </row>
    <row r="333" spans="1:2" x14ac:dyDescent="0.2">
      <c r="A333" s="39">
        <v>3.31</v>
      </c>
      <c r="B333" s="39">
        <v>7.9299999999999995E-2</v>
      </c>
    </row>
    <row r="334" spans="1:2" x14ac:dyDescent="0.2">
      <c r="A334" s="39">
        <v>3.32</v>
      </c>
      <c r="B334" s="39">
        <v>7.8899999999999998E-2</v>
      </c>
    </row>
    <row r="335" spans="1:2" x14ac:dyDescent="0.2">
      <c r="A335" s="39">
        <v>3.33</v>
      </c>
      <c r="B335" s="39">
        <v>7.8399999999999997E-2</v>
      </c>
    </row>
    <row r="336" spans="1:2" x14ac:dyDescent="0.2">
      <c r="A336" s="39">
        <v>3.34</v>
      </c>
      <c r="B336" s="39">
        <v>7.8E-2</v>
      </c>
    </row>
    <row r="337" spans="1:2" x14ac:dyDescent="0.2">
      <c r="A337" s="39">
        <v>3.35</v>
      </c>
      <c r="B337" s="39">
        <v>7.7499999999999999E-2</v>
      </c>
    </row>
    <row r="338" spans="1:2" x14ac:dyDescent="0.2">
      <c r="A338" s="39">
        <v>3.36</v>
      </c>
      <c r="B338" s="39">
        <v>7.7100000000000002E-2</v>
      </c>
    </row>
    <row r="339" spans="1:2" x14ac:dyDescent="0.2">
      <c r="A339" s="39">
        <v>3.37</v>
      </c>
      <c r="B339" s="39">
        <v>7.6700000000000004E-2</v>
      </c>
    </row>
    <row r="340" spans="1:2" x14ac:dyDescent="0.2">
      <c r="A340" s="39">
        <v>3.38</v>
      </c>
      <c r="B340" s="39">
        <v>7.6300000000000007E-2</v>
      </c>
    </row>
    <row r="341" spans="1:2" x14ac:dyDescent="0.2">
      <c r="A341" s="39">
        <v>3.39</v>
      </c>
      <c r="B341" s="39">
        <v>7.5899999999999995E-2</v>
      </c>
    </row>
    <row r="342" spans="1:2" x14ac:dyDescent="0.2">
      <c r="A342" s="39">
        <v>3.4</v>
      </c>
      <c r="B342" s="39">
        <v>7.5399999999999995E-2</v>
      </c>
    </row>
    <row r="343" spans="1:2" x14ac:dyDescent="0.2">
      <c r="A343" s="39">
        <v>3.41</v>
      </c>
      <c r="B343" s="39">
        <v>7.4999999999999997E-2</v>
      </c>
    </row>
    <row r="344" spans="1:2" x14ac:dyDescent="0.2">
      <c r="A344" s="39">
        <v>3.42</v>
      </c>
      <c r="B344" s="39">
        <v>7.46E-2</v>
      </c>
    </row>
    <row r="345" spans="1:2" x14ac:dyDescent="0.2">
      <c r="A345" s="39">
        <v>3.43</v>
      </c>
      <c r="B345" s="39">
        <v>7.4200000000000002E-2</v>
      </c>
    </row>
    <row r="346" spans="1:2" x14ac:dyDescent="0.2">
      <c r="A346" s="39">
        <v>3.44</v>
      </c>
      <c r="B346" s="39">
        <v>7.3800000000000004E-2</v>
      </c>
    </row>
    <row r="347" spans="1:2" x14ac:dyDescent="0.2">
      <c r="A347" s="39">
        <v>3.45</v>
      </c>
      <c r="B347" s="39">
        <v>7.3400000000000007E-2</v>
      </c>
    </row>
    <row r="348" spans="1:2" x14ac:dyDescent="0.2">
      <c r="A348" s="39">
        <v>3.46</v>
      </c>
      <c r="B348" s="39">
        <v>7.2999999999999995E-2</v>
      </c>
    </row>
    <row r="349" spans="1:2" x14ac:dyDescent="0.2">
      <c r="A349" s="39">
        <v>3.47</v>
      </c>
      <c r="B349" s="39">
        <v>7.2599999999999998E-2</v>
      </c>
    </row>
    <row r="350" spans="1:2" x14ac:dyDescent="0.2">
      <c r="A350" s="39">
        <v>3.48</v>
      </c>
      <c r="B350" s="39">
        <v>7.22E-2</v>
      </c>
    </row>
    <row r="351" spans="1:2" x14ac:dyDescent="0.2">
      <c r="A351" s="39">
        <v>3.49</v>
      </c>
      <c r="B351" s="39">
        <v>7.1900000000000006E-2</v>
      </c>
    </row>
  </sheetData>
  <sheetProtection algorithmName="SHA-512" hashValue="TiYSPKZRiLQNzMQpvLjMoxT0a/hQml3WEmh8CfCpOIbmmSAtRQmGymTpLo1PlERWmL25/xoW8D2a9N/lOjiGfg==" saltValue="AarC1yBVDZ5qn9uApWOisw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1BCA7-9189-9D4E-8EB3-4104CE4A4F1F}">
  <sheetPr codeName="Tabelle6"/>
  <dimension ref="A1:C5"/>
  <sheetViews>
    <sheetView workbookViewId="0">
      <selection activeCell="C1" sqref="C1"/>
    </sheetView>
  </sheetViews>
  <sheetFormatPr baseColWidth="10" defaultRowHeight="15" x14ac:dyDescent="0.2"/>
  <sheetData>
    <row r="1" spans="1:3" x14ac:dyDescent="0.2">
      <c r="A1" s="35" t="s">
        <v>80</v>
      </c>
      <c r="B1" s="35" t="s">
        <v>81</v>
      </c>
      <c r="C1" s="35" t="s">
        <v>82</v>
      </c>
    </row>
    <row r="2" spans="1:3" x14ac:dyDescent="0.2">
      <c r="A2" t="s">
        <v>83</v>
      </c>
      <c r="B2">
        <v>235</v>
      </c>
      <c r="C2">
        <v>93.9</v>
      </c>
    </row>
    <row r="3" spans="1:3" x14ac:dyDescent="0.2">
      <c r="A3" t="s">
        <v>84</v>
      </c>
      <c r="B3">
        <v>275</v>
      </c>
      <c r="C3">
        <v>86.8</v>
      </c>
    </row>
    <row r="4" spans="1:3" x14ac:dyDescent="0.2">
      <c r="A4" t="s">
        <v>85</v>
      </c>
      <c r="B4">
        <v>355</v>
      </c>
      <c r="C4">
        <v>76.400000000000006</v>
      </c>
    </row>
    <row r="5" spans="1:3" x14ac:dyDescent="0.2">
      <c r="A5" t="s">
        <v>86</v>
      </c>
      <c r="B5">
        <v>460</v>
      </c>
      <c r="C5">
        <v>67.099999999999994</v>
      </c>
    </row>
  </sheetData>
  <sheetProtection algorithmName="SHA-512" hashValue="0etsjdGtQtPwJrAkMe/enf9UjxCF6V12H2ayhDkf8nn8F/r1TrLJ2PFub1+vexLJcO6n06cvN6BA/4JTdOOdng==" saltValue="GFQQ3wr2zJJbQqu6aoxh4A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15D-E66C-634B-96D8-34B5590C002A}">
  <sheetPr codeName="Tabelle7"/>
  <dimension ref="A1:D16"/>
  <sheetViews>
    <sheetView workbookViewId="0">
      <selection activeCell="I37" sqref="I37"/>
    </sheetView>
  </sheetViews>
  <sheetFormatPr baseColWidth="10" defaultRowHeight="15" x14ac:dyDescent="0.2"/>
  <cols>
    <col min="4" max="4" width="17.83203125" bestFit="1" customWidth="1"/>
  </cols>
  <sheetData>
    <row r="1" spans="1:4" x14ac:dyDescent="0.2">
      <c r="A1" s="35" t="s">
        <v>97</v>
      </c>
      <c r="B1" s="35" t="s">
        <v>99</v>
      </c>
      <c r="C1" s="35" t="s">
        <v>100</v>
      </c>
      <c r="D1" s="35" t="s">
        <v>98</v>
      </c>
    </row>
    <row r="2" spans="1:4" x14ac:dyDescent="0.2">
      <c r="A2" t="s">
        <v>87</v>
      </c>
      <c r="B2">
        <v>400</v>
      </c>
      <c r="C2">
        <v>1000</v>
      </c>
      <c r="D2" t="s">
        <v>88</v>
      </c>
    </row>
    <row r="3" spans="1:4" x14ac:dyDescent="0.2">
      <c r="A3" t="s">
        <v>89</v>
      </c>
      <c r="B3">
        <v>400</v>
      </c>
      <c r="C3">
        <v>1000</v>
      </c>
      <c r="D3" t="s">
        <v>88</v>
      </c>
    </row>
    <row r="4" spans="1:4" x14ac:dyDescent="0.2">
      <c r="A4" t="s">
        <v>90</v>
      </c>
      <c r="B4">
        <v>400</v>
      </c>
      <c r="C4">
        <v>1000</v>
      </c>
      <c r="D4" t="s">
        <v>88</v>
      </c>
    </row>
    <row r="5" spans="1:4" x14ac:dyDescent="0.2">
      <c r="A5" t="s">
        <v>91</v>
      </c>
      <c r="B5">
        <v>400</v>
      </c>
      <c r="C5">
        <v>1000</v>
      </c>
      <c r="D5" t="s">
        <v>88</v>
      </c>
    </row>
    <row r="6" spans="1:4" x14ac:dyDescent="0.2">
      <c r="A6" t="s">
        <v>92</v>
      </c>
      <c r="B6">
        <v>400</v>
      </c>
      <c r="C6">
        <v>1000</v>
      </c>
      <c r="D6" t="s">
        <v>88</v>
      </c>
    </row>
    <row r="7" spans="1:4" x14ac:dyDescent="0.2">
      <c r="A7" t="s">
        <v>93</v>
      </c>
      <c r="D7" t="s">
        <v>88</v>
      </c>
    </row>
    <row r="8" spans="1:4" x14ac:dyDescent="0.2">
      <c r="A8" t="s">
        <v>94</v>
      </c>
      <c r="D8" t="s">
        <v>88</v>
      </c>
    </row>
    <row r="9" spans="1:4" x14ac:dyDescent="0.2">
      <c r="A9" t="s">
        <v>87</v>
      </c>
      <c r="B9">
        <v>100</v>
      </c>
      <c r="C9">
        <v>360</v>
      </c>
      <c r="D9" t="s">
        <v>95</v>
      </c>
    </row>
    <row r="10" spans="1:4" x14ac:dyDescent="0.2">
      <c r="A10" t="s">
        <v>89</v>
      </c>
      <c r="B10">
        <v>100</v>
      </c>
      <c r="C10">
        <v>360</v>
      </c>
      <c r="D10" t="s">
        <v>95</v>
      </c>
    </row>
    <row r="11" spans="1:4" x14ac:dyDescent="0.2">
      <c r="A11" t="s">
        <v>90</v>
      </c>
      <c r="B11">
        <v>100</v>
      </c>
      <c r="C11">
        <v>360</v>
      </c>
      <c r="D11" t="s">
        <v>95</v>
      </c>
    </row>
    <row r="12" spans="1:4" x14ac:dyDescent="0.2">
      <c r="A12" t="s">
        <v>91</v>
      </c>
      <c r="B12">
        <v>100</v>
      </c>
      <c r="C12">
        <v>360</v>
      </c>
      <c r="D12" t="s">
        <v>95</v>
      </c>
    </row>
    <row r="13" spans="1:4" x14ac:dyDescent="0.2">
      <c r="A13" t="s">
        <v>92</v>
      </c>
      <c r="B13">
        <v>100</v>
      </c>
      <c r="C13">
        <v>360</v>
      </c>
      <c r="D13" t="s">
        <v>95</v>
      </c>
    </row>
    <row r="14" spans="1:4" x14ac:dyDescent="0.2">
      <c r="A14" t="s">
        <v>87</v>
      </c>
      <c r="B14">
        <v>100</v>
      </c>
      <c r="C14">
        <v>360</v>
      </c>
      <c r="D14" t="s">
        <v>96</v>
      </c>
    </row>
    <row r="15" spans="1:4" x14ac:dyDescent="0.2">
      <c r="A15" t="s">
        <v>89</v>
      </c>
      <c r="B15">
        <v>100</v>
      </c>
      <c r="C15">
        <v>360</v>
      </c>
      <c r="D15" t="s">
        <v>96</v>
      </c>
    </row>
    <row r="16" spans="1:4" x14ac:dyDescent="0.2">
      <c r="A16" t="s">
        <v>90</v>
      </c>
      <c r="B16">
        <v>100</v>
      </c>
      <c r="C16">
        <v>360</v>
      </c>
      <c r="D16" t="s">
        <v>96</v>
      </c>
    </row>
  </sheetData>
  <sheetProtection algorithmName="SHA-512" hashValue="vgxyvXfRYdqVZxX4VHDGf/gwKY8EvsX5agQtQt5HVz00q0mUf27WRUEU5B5/hzaVZRkZsRUV1Z3r6Tq2rALvVQ==" saltValue="Nh7RRIT6y/DvpH/RbAyipA==" spinCount="100000" sheet="1" objects="1" scenarios="1" selectLockedCells="1" selectUnlockedCell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Berechnungen</vt:lpstr>
      <vt:lpstr>lmperfektionsbeiwert aK</vt:lpstr>
      <vt:lpstr>Knickspannungskurve A</vt:lpstr>
      <vt:lpstr>Knickspannungskurve B</vt:lpstr>
      <vt:lpstr>Knickspannungskurve C</vt:lpstr>
      <vt:lpstr>Fliesschlankheit</vt:lpstr>
      <vt:lpstr>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2024-09-08T13:33:25Z</dcterms:created>
  <dcterms:modified xsi:type="dcterms:W3CDTF">2024-09-16T21:46:39Z</dcterms:modified>
</cp:coreProperties>
</file>