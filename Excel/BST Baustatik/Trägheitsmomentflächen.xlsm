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C43494EA-2644-C945-A97B-F4BA53E31089}" xr6:coauthVersionLast="47" xr6:coauthVersionMax="47" xr10:uidLastSave="{00000000-0000-0000-0000-000000000000}"/>
  <bookViews>
    <workbookView xWindow="0" yWindow="860" windowWidth="38400" windowHeight="23060" xr2:uid="{00000000-000D-0000-FFFF-FFFF00000000}"/>
  </bookViews>
  <sheets>
    <sheet name="Berechnung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4" i="1" l="1"/>
  <c r="D133" i="1"/>
  <c r="E105" i="1" a="1"/>
  <c r="E105" i="1" s="1"/>
  <c r="E104" i="1" a="1"/>
  <c r="E104" i="1" s="1"/>
  <c r="K28" i="1" s="1"/>
  <c r="E110" i="1" a="1"/>
  <c r="E110" i="1" s="1"/>
  <c r="E109" i="1" a="1"/>
  <c r="E109" i="1" s="1"/>
  <c r="K29" i="1" s="1"/>
  <c r="G36" i="1" l="1"/>
  <c r="G37" i="1"/>
  <c r="G38" i="1"/>
  <c r="G39" i="1"/>
  <c r="G40" i="1"/>
  <c r="G41" i="1"/>
  <c r="G42" i="1"/>
  <c r="G35" i="1"/>
  <c r="O97" i="1"/>
  <c r="N97" i="1"/>
  <c r="M97" i="1"/>
  <c r="L97" i="1"/>
  <c r="K97" i="1"/>
  <c r="O85" i="1"/>
  <c r="N85" i="1"/>
  <c r="M85" i="1"/>
  <c r="L85" i="1"/>
  <c r="K85" i="1"/>
  <c r="O96" i="1"/>
  <c r="N96" i="1"/>
  <c r="M96" i="1"/>
  <c r="L96" i="1"/>
  <c r="K96" i="1"/>
  <c r="O84" i="1"/>
  <c r="N84" i="1"/>
  <c r="M84" i="1"/>
  <c r="L84" i="1"/>
  <c r="K84" i="1"/>
  <c r="O95" i="1"/>
  <c r="N95" i="1"/>
  <c r="M95" i="1"/>
  <c r="L95" i="1"/>
  <c r="K95" i="1"/>
  <c r="O83" i="1"/>
  <c r="N83" i="1"/>
  <c r="M83" i="1"/>
  <c r="L83" i="1"/>
  <c r="K83" i="1"/>
  <c r="E69" i="1" l="1"/>
  <c r="C69" i="1"/>
  <c r="E68" i="1"/>
  <c r="C68" i="1"/>
  <c r="C64" i="1"/>
  <c r="E64" i="1"/>
  <c r="E63" i="1"/>
  <c r="C63" i="1"/>
  <c r="C67" i="1"/>
  <c r="E67" i="1"/>
  <c r="E66" i="1"/>
  <c r="C66" i="1"/>
  <c r="E65" i="1"/>
  <c r="C65" i="1"/>
  <c r="E72" i="1"/>
  <c r="E71" i="1"/>
  <c r="E62" i="1"/>
  <c r="C71" i="1"/>
  <c r="C62" i="1"/>
  <c r="E50" i="1"/>
  <c r="C50" i="1"/>
  <c r="C53" i="1"/>
  <c r="E53" i="1"/>
  <c r="E49" i="1"/>
  <c r="C49" i="1"/>
  <c r="C54" i="1"/>
  <c r="E54" i="1"/>
  <c r="C52" i="1"/>
  <c r="E52" i="1"/>
  <c r="E58" i="1"/>
  <c r="E57" i="1"/>
  <c r="E48" i="1"/>
  <c r="C48" i="1"/>
  <c r="E51" i="1"/>
  <c r="C51" i="1"/>
  <c r="C55" i="1"/>
  <c r="E55" i="1"/>
  <c r="C57" i="1"/>
  <c r="D135" i="1" s="1"/>
  <c r="K79" i="1"/>
  <c r="L79" i="1"/>
  <c r="M79" i="1"/>
  <c r="N79" i="1"/>
  <c r="O79" i="1"/>
  <c r="K91" i="1"/>
  <c r="L91" i="1"/>
  <c r="M91" i="1"/>
  <c r="N91" i="1"/>
  <c r="O91" i="1"/>
  <c r="K80" i="1"/>
  <c r="L80" i="1"/>
  <c r="M80" i="1"/>
  <c r="N80" i="1"/>
  <c r="O80" i="1"/>
  <c r="K92" i="1"/>
  <c r="L92" i="1"/>
  <c r="M92" i="1"/>
  <c r="N92" i="1"/>
  <c r="O92" i="1"/>
  <c r="K81" i="1"/>
  <c r="L81" i="1"/>
  <c r="M81" i="1"/>
  <c r="N81" i="1"/>
  <c r="O81" i="1"/>
  <c r="K93" i="1"/>
  <c r="L93" i="1"/>
  <c r="M93" i="1"/>
  <c r="N93" i="1"/>
  <c r="O93" i="1"/>
  <c r="K82" i="1"/>
  <c r="L82" i="1"/>
  <c r="M82" i="1"/>
  <c r="N82" i="1"/>
  <c r="O82" i="1"/>
  <c r="K94" i="1"/>
  <c r="L94" i="1"/>
  <c r="M94" i="1"/>
  <c r="N94" i="1"/>
  <c r="O94" i="1"/>
  <c r="O90" i="1"/>
  <c r="N90" i="1"/>
  <c r="M90" i="1"/>
  <c r="L90" i="1"/>
  <c r="K90" i="1"/>
  <c r="O78" i="1"/>
  <c r="N78" i="1"/>
  <c r="M78" i="1"/>
  <c r="L78" i="1"/>
  <c r="K78" i="1"/>
  <c r="C56" i="1" l="1"/>
  <c r="C58" i="1" s="1"/>
  <c r="M28" i="1" l="1"/>
  <c r="L28" i="1"/>
  <c r="C78" i="1"/>
  <c r="G78" i="1" s="1"/>
  <c r="C110" i="1"/>
  <c r="G110" i="1" s="1"/>
  <c r="C81" i="1"/>
  <c r="E81" i="1" s="1"/>
  <c r="C80" i="1"/>
  <c r="G80" i="1" s="1"/>
  <c r="C83" i="1"/>
  <c r="E83" i="1" s="1"/>
  <c r="C82" i="1"/>
  <c r="E82" i="1" s="1"/>
  <c r="C109" i="1"/>
  <c r="C79" i="1"/>
  <c r="E79" i="1" s="1"/>
  <c r="C85" i="1"/>
  <c r="C84" i="1"/>
  <c r="E84" i="1" s="1"/>
  <c r="C70" i="1"/>
  <c r="G83" i="1" l="1"/>
  <c r="G84" i="1"/>
  <c r="G109" i="1"/>
  <c r="C72" i="1"/>
  <c r="C104" i="1" s="1"/>
  <c r="E85" i="1"/>
  <c r="E78" i="1"/>
  <c r="G85" i="1"/>
  <c r="G81" i="1"/>
  <c r="E80" i="1"/>
  <c r="G79" i="1"/>
  <c r="G82" i="1"/>
  <c r="C97" i="1" l="1"/>
  <c r="C91" i="1"/>
  <c r="E91" i="1" s="1"/>
  <c r="C105" i="1"/>
  <c r="G105" i="1" s="1"/>
  <c r="E86" i="1"/>
  <c r="C96" i="1"/>
  <c r="G96" i="1" s="1"/>
  <c r="G104" i="1"/>
  <c r="C94" i="1"/>
  <c r="E94" i="1" s="1"/>
  <c r="C93" i="1"/>
  <c r="E93" i="1" s="1"/>
  <c r="C95" i="1"/>
  <c r="E95" i="1" s="1"/>
  <c r="C90" i="1"/>
  <c r="G90" i="1" s="1"/>
  <c r="C92" i="1"/>
  <c r="G92" i="1" s="1"/>
  <c r="I124" i="1"/>
  <c r="I118" i="1"/>
  <c r="M29" i="1"/>
  <c r="L29" i="1"/>
  <c r="G91" i="1"/>
  <c r="E97" i="1"/>
  <c r="G97" i="1"/>
  <c r="G86" i="1" l="1"/>
  <c r="C128" i="1"/>
  <c r="C131" i="1" s="1"/>
  <c r="G124" i="1"/>
  <c r="E123" i="1"/>
  <c r="G123" i="1"/>
  <c r="I123" i="1" s="1"/>
  <c r="E96" i="1"/>
  <c r="I110" i="1"/>
  <c r="H109" i="1"/>
  <c r="H110" i="1"/>
  <c r="I109" i="1"/>
  <c r="E124" i="1"/>
  <c r="G95" i="1"/>
  <c r="E90" i="1"/>
  <c r="E92" i="1"/>
  <c r="G94" i="1"/>
  <c r="G93" i="1"/>
  <c r="E98" i="1" l="1"/>
  <c r="G118" i="1" s="1"/>
  <c r="E117" i="1" l="1"/>
  <c r="I105" i="1"/>
  <c r="H104" i="1"/>
  <c r="I104" i="1"/>
  <c r="G117" i="1"/>
  <c r="E118" i="1"/>
  <c r="G98" i="1"/>
  <c r="H10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<sst xmlns="http://schemas.openxmlformats.org/spreadsheetml/2006/main" count="144" uniqueCount="90">
  <si>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</si>
  <si>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</si>
  <si>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</si>
  <si>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</si>
  <si>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</si>
  <si>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</si>
  <si>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</si>
  <si>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</si>
  <si>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</si>
  <si>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</si>
  <si>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</si>
  <si>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</si>
  <si>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</si>
  <si>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</si>
  <si>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</si>
  <si>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</si>
  <si>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</si>
  <si>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</si>
  <si>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</si>
  <si>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</si>
  <si>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</si>
  <si>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Trägheitsmomente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</si>
  <si>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</si>
  <si>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</si>
  <si>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</si>
  <si>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</si>
  <si>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</si>
  <si>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</si>
  <si>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</si>
  <si>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</si>
  <si>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</si>
  <si>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</si>
  <si>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</si>
  <si>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</si>
  <si>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</si>
  <si>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</si>
  <si>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</si>
  <si>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</si>
  <si>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</si>
  <si>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</si>
  <si>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</si>
  <si>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</si>
  <si>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</si>
  <si>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</si>
  <si>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</si>
  <si>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</si>
  <si>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</si>
  <si>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</si>
  <si>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</si>
  <si>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iy=</t>
  </si>
  <si>
    <t>oben unten gelenkig</t>
  </si>
  <si>
    <t>stützenlänge</t>
  </si>
  <si>
    <t>mm</t>
  </si>
  <si>
    <t>λ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</si>
  <si>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</si>
  <si>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</si>
  <si>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</si>
  <si>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</si>
  <si>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</si>
  <si>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</si>
  <si>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</si>
  <si>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</si>
  <si>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</si>
  <si>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</si>
  <si>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</si>
  <si>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</si>
  <si>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</si>
  <si>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</si>
  <si>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</si>
  <si>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</si>
  <si>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</si>
  <si>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</si>
  <si>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</si>
  <si>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</si>
  <si>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</si>
  <si>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</si>
  <si>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</si>
  <si>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</si>
  <si>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</si>
  <si>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</si>
  <si>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</si>
  <si>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</si>
  <si>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</si>
  <si>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</si>
  <si>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ΦK</t>
  </si>
  <si>
    <t>Stahlsorte S</t>
  </si>
  <si>
    <t>kN</t>
  </si>
  <si>
    <r>
      <t>Imperfektionsbeiwert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αK=</t>
    </r>
  </si>
  <si>
    <r>
      <t>Abminderungsfaktors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χK​</t>
    </r>
  </si>
  <si>
    <r>
      <t>Tragwiderstands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NK,Rd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</si>
</sst>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sz val="14"/>
      <color theme="0"/>
      <name val="-webkit-standard"/>
    </font>
    <font>
      <b/>
      <sz val="14"/>
      <color theme="1"/>
      <name val="Aptos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23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8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4" fontId="11" fillId="3" borderId="22" xfId="4" applyNumberFormat="1" applyBorder="1" applyProtection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5" xfId="0" applyFont="1" applyBorder="1"/>
    <xf numFmtId="0" fontId="5" fillId="0" borderId="5" xfId="0" applyFont="1" applyBorder="1"/>
    <xf numFmtId="0" fontId="2" fillId="2" borderId="56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0" fontId="14" fillId="0" borderId="0" xfId="0" applyFont="1"/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7" xfId="4" applyNumberFormat="1" applyBorder="1" applyAlignment="1">
      <alignment horizontal="right"/>
    </xf>
    <xf numFmtId="164" fontId="9" fillId="7" borderId="59" xfId="1" applyNumberFormat="1" applyFont="1" applyFill="1" applyBorder="1" applyProtection="1">
      <protection locked="0"/>
    </xf>
    <xf numFmtId="164" fontId="9" fillId="7" borderId="60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15" xfId="4" applyNumberFormat="1" applyAlignment="1" applyProtection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right"/>
    </xf>
    <xf numFmtId="4" fontId="11" fillId="3" borderId="26" xfId="4" applyNumberFormat="1" applyBorder="1" applyAlignment="1" applyProtection="1">
      <alignment horizontal="righ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4" fontId="11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1" fillId="3" borderId="15" xfId="4" applyNumberFormat="1" applyAlignment="1">
      <alignment horizontal="right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1" fillId="3" borderId="33" xfId="4" applyNumberFormat="1" applyBorder="1" applyAlignment="1" applyProtection="1">
      <alignment horizontal="righ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center"/>
    </xf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27" xfId="4" applyNumberFormat="1" applyBorder="1" applyAlignment="1">
      <alignment horizontal="righ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11" fillId="3" borderId="15" xfId="4" applyNumberFormat="1"/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4" fontId="11" fillId="3" borderId="27" xfId="4" applyNumberFormat="1" applyBorder="1"/>
    <xf numFmtId="4" fontId="5" fillId="4" borderId="40" xfId="3" applyNumberFormat="1" applyFont="1" applyBorder="1" applyAlignment="1" applyProtection="1">
      <alignment horizontal="left" wrapText="1"/>
    </xf>
    <xf numFmtId="4" fontId="11" fillId="3" borderId="54" xfId="4" applyNumberFormat="1" applyBorder="1" applyAlignment="1">
      <alignment horizontal="right"/>
    </xf>
    <xf numFmtId="4" fontId="11" fillId="3" borderId="55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4" fontId="11" fillId="3" borderId="52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11" fillId="3" borderId="42" xfId="4" applyNumberFormat="1" applyBorder="1" applyAlignment="1">
      <alignment horizontal="right"/>
    </xf>
    <xf numFmtId="4" fontId="11" fillId="3" borderId="47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15" fillId="0" borderId="0" xfId="0" applyFont="1" applyAlignment="1">
      <alignment vertical="top" wrapText="1"/>
    </xf>
    <xf numFmtId="0" fontId="16" fillId="0" borderId="0" xfId="0" applyFont="1"/>
    <xf numFmtId="0" fontId="17" fillId="0" borderId="0" xfId="0" applyFont="1"/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Berechnungen!$B$35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Berechnungen!$K$78:$O$78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Berechnungen!$K$90:$O$90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340</c:v>
                </c:pt>
                <c:pt idx="3">
                  <c:v>340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Berechnungen!$B$36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Berechnungen!$K$79:$O$79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Berechnungen!$K$91:$O$91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60</c:v>
                </c:pt>
                <c:pt idx="3">
                  <c:v>60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Berechnungen!$B$37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Berechnungen!$K$80:$O$80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Berechnungen!$K$92:$O$92</c:f>
              <c:numCache>
                <c:formatCode>General</c:formatCode>
                <c:ptCount val="5"/>
                <c:pt idx="0">
                  <c:v>280</c:v>
                </c:pt>
                <c:pt idx="1">
                  <c:v>280</c:v>
                </c:pt>
                <c:pt idx="2">
                  <c:v>300</c:v>
                </c:pt>
                <c:pt idx="3">
                  <c:v>300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Berechnungen!$B$38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Berechnungen!$K$81:$O$81</c:f>
              <c:numCache>
                <c:formatCode>General</c:formatCode>
                <c:ptCount val="5"/>
                <c:pt idx="0">
                  <c:v>350</c:v>
                </c:pt>
                <c:pt idx="1">
                  <c:v>380</c:v>
                </c:pt>
                <c:pt idx="2">
                  <c:v>380</c:v>
                </c:pt>
                <c:pt idx="3">
                  <c:v>350</c:v>
                </c:pt>
                <c:pt idx="4">
                  <c:v>350</c:v>
                </c:pt>
              </c:numCache>
            </c:numRef>
          </c:xVal>
          <c:yVal>
            <c:numRef>
              <c:f>Berechnungen!$K$93:$O$93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320</c:v>
                </c:pt>
                <c:pt idx="3">
                  <c:v>320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Berechnungen!$B$39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Berechnungen!$K$82:$O$82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Berechnungen!$K$94:$O$94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Berechnungen!$B$40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Berechnungen!$K$83:$O$83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Berechnungen!$K$95:$O$95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Berechnungen!$B$41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Berechnungen!$K$84:$O$84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Berechnungen!$K$96:$O$96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Berechnungen!$B$42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Berechnungen!$K$85:$O$85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Berechnungen!$K$97:$O$97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Berechnungen!$J$28:$K$28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380</c:v>
                </c:pt>
              </c:numCache>
            </c:numRef>
          </c:xVal>
          <c:yVal>
            <c:numRef>
              <c:f>Berechnungen!$L$28:$M$28</c:f>
              <c:numCache>
                <c:formatCode>#,##0.00</c:formatCode>
                <c:ptCount val="2"/>
                <c:pt idx="0">
                  <c:v>170</c:v>
                </c:pt>
                <c:pt idx="1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Berechnungen!$L$29:$M$29</c:f>
              <c:numCache>
                <c:formatCode>#,##0.00</c:formatCode>
                <c:ptCount val="2"/>
                <c:pt idx="0">
                  <c:v>183.4375</c:v>
                </c:pt>
                <c:pt idx="1">
                  <c:v>183.4375</c:v>
                </c:pt>
              </c:numCache>
            </c:numRef>
          </c:xVal>
          <c:yVal>
            <c:numRef>
              <c:f>Berechnungen!$J$29:$K$29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119773</xdr:colOff>
      <xdr:row>1</xdr:row>
      <xdr:rowOff>165875</xdr:rowOff>
    </xdr:from>
    <xdr:to>
      <xdr:col>7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39"/>
  <sheetViews>
    <sheetView showGridLines="0" tabSelected="1" zoomScale="125" zoomScaleNormal="115" workbookViewId="0">
      <selection activeCell="F39" sqref="F39"/>
    </sheetView>
  </sheetViews>
  <sheetFormatPr baseColWidth="10" defaultColWidth="8.83203125" defaultRowHeight="15"/>
  <cols>
    <col min="1" max="1" width="8.83203125" style="5"/>
    <col min="2" max="2" width="14" style="5" bestFit="1" customWidth="1"/>
    <col min="3" max="3" width="17.1640625" style="5" customWidth="1"/>
    <col min="4" max="4" width="14.5" style="5" customWidth="1"/>
    <col min="5" max="5" width="17.1640625" style="5" customWidth="1"/>
    <col min="6" max="6" width="14.5" style="5" customWidth="1"/>
    <col min="7" max="7" width="17.83203125" style="5" bestFit="1" customWidth="1"/>
    <col min="8" max="8" width="17.5" style="5" bestFit="1" customWidth="1"/>
    <col min="9" max="9" width="26.83203125" style="5" customWidth="1"/>
    <col min="10" max="10" width="55.6640625" style="5" customWidth="1"/>
    <col min="11" max="11" width="4.33203125" style="5" bestFit="1" customWidth="1"/>
    <col min="12" max="12" width="38.1640625" style="5" bestFit="1" customWidth="1"/>
    <col min="13" max="13" width="6.6640625" style="5" bestFit="1" customWidth="1"/>
    <col min="14" max="15" width="4.33203125" style="5" bestFit="1" customWidth="1"/>
    <col min="16" max="19" width="9.33203125" style="5" bestFit="1" customWidth="1"/>
    <col min="20" max="22" width="9.1640625" style="5" bestFit="1" customWidth="1"/>
    <col min="23" max="16384" width="8.83203125" style="5"/>
  </cols>
  <sheetData>
    <row r="1" spans="1:22" ht="20" thickBot="1">
      <c r="A1" s="1" t="s">
        <v>21</v>
      </c>
      <c r="B1" s="2"/>
      <c r="C1" s="2"/>
      <c r="D1" s="2"/>
      <c r="E1" s="2"/>
      <c r="F1" s="2"/>
      <c r="G1" s="2"/>
      <c r="H1" s="2"/>
      <c r="I1" s="2"/>
      <c r="J1" s="3" t="s">
        <v>20</v>
      </c>
      <c r="M1" s="4"/>
      <c r="N1" s="4"/>
      <c r="O1" s="4"/>
      <c r="P1" s="4"/>
      <c r="Q1" s="4"/>
      <c r="R1" s="4"/>
      <c r="S1" s="4"/>
      <c r="T1" s="4"/>
      <c r="U1" s="4"/>
      <c r="V1" s="4"/>
    </row>
    <row r="12" spans="1:22" ht="19" customHeight="1">
      <c r="H12" s="120"/>
      <c r="J12" s="120"/>
    </row>
    <row r="13" spans="1:22" ht="19" customHeight="1">
      <c r="H13" s="120"/>
      <c r="J13" s="120"/>
    </row>
    <row r="14" spans="1:22" ht="19" customHeight="1">
      <c r="H14" s="120"/>
      <c r="I14" s="120"/>
      <c r="J14" s="120"/>
    </row>
    <row r="15" spans="1:22" ht="19" customHeight="1">
      <c r="H15" s="120"/>
      <c r="I15" s="120"/>
      <c r="J15" s="120"/>
    </row>
    <row r="16" spans="1:22" ht="19" customHeight="1"/>
    <row r="17" spans="4:13" ht="19" customHeight="1"/>
    <row r="18" spans="4:13" ht="15" customHeight="1"/>
    <row r="19" spans="4:13" ht="15" customHeight="1"/>
    <row r="20" spans="4:13" ht="15" customHeight="1">
      <c r="D20" s="4"/>
    </row>
    <row r="21" spans="4:13" ht="15" customHeight="1">
      <c r="D21" s="4"/>
    </row>
    <row r="22" spans="4:13">
      <c r="D22" s="4"/>
    </row>
    <row r="23" spans="4:13">
      <c r="D23" s="4"/>
    </row>
    <row r="24" spans="4:13">
      <c r="D24" s="4"/>
      <c r="M24" s="4"/>
    </row>
    <row r="25" spans="4:13">
      <c r="D25" s="4"/>
      <c r="M25" s="4"/>
    </row>
    <row r="26" spans="4:13">
      <c r="D26" s="4"/>
      <c r="G26" s="8"/>
      <c r="H26" s="8"/>
      <c r="I26" s="8"/>
      <c r="J26" s="4"/>
      <c r="K26" s="4"/>
      <c r="L26" s="4"/>
      <c r="M26" s="4"/>
    </row>
    <row r="27" spans="4:13">
      <c r="D27" s="4"/>
      <c r="G27" s="8"/>
      <c r="H27" s="8"/>
      <c r="I27" s="4"/>
      <c r="J27" s="4" t="s">
        <v>0</v>
      </c>
      <c r="K27" s="4" t="s">
        <v>16</v>
      </c>
      <c r="L27" s="4" t="s">
        <v>1</v>
      </c>
      <c r="M27" s="4" t="s">
        <v>17</v>
      </c>
    </row>
    <row r="28" spans="4:13">
      <c r="D28" s="4"/>
      <c r="G28" s="8"/>
      <c r="H28" s="8"/>
      <c r="I28" s="4" t="s">
        <v>12</v>
      </c>
      <c r="J28" s="4">
        <v>0</v>
      </c>
      <c r="K28" s="8">
        <f>E104</f>
        <v>380</v>
      </c>
      <c r="L28" s="21">
        <f>C58</f>
        <v>170</v>
      </c>
      <c r="M28" s="21">
        <f>C58</f>
        <v>170</v>
      </c>
    </row>
    <row r="29" spans="4:13">
      <c r="D29" s="4"/>
      <c r="G29" s="8"/>
      <c r="H29" s="8"/>
      <c r="I29" s="4" t="s">
        <v>13</v>
      </c>
      <c r="J29" s="4">
        <v>0</v>
      </c>
      <c r="K29" s="8">
        <f>E109</f>
        <v>340</v>
      </c>
      <c r="L29" s="21">
        <f>C72</f>
        <v>183.4375</v>
      </c>
      <c r="M29" s="21">
        <f>C72</f>
        <v>183.4375</v>
      </c>
    </row>
    <row r="30" spans="4:13">
      <c r="D30" s="4"/>
      <c r="G30" s="8"/>
      <c r="H30" s="8"/>
      <c r="I30" s="4"/>
      <c r="J30" s="4"/>
      <c r="K30" s="4"/>
      <c r="L30" s="4"/>
      <c r="M30" s="4"/>
    </row>
    <row r="31" spans="4:13">
      <c r="D31" s="4"/>
      <c r="G31" s="8"/>
      <c r="H31" s="8"/>
      <c r="I31" s="4"/>
      <c r="J31" s="4"/>
      <c r="K31" s="4"/>
      <c r="L31" s="4"/>
      <c r="M31" s="4"/>
    </row>
    <row r="32" spans="4:13" ht="16" thickBot="1">
      <c r="D32" s="4"/>
      <c r="E32" s="4"/>
      <c r="F32" s="4"/>
      <c r="H32" s="7"/>
    </row>
    <row r="33" spans="1:11" ht="15" customHeight="1">
      <c r="B33" s="69" t="s">
        <v>62</v>
      </c>
      <c r="C33" s="61" t="s">
        <v>74</v>
      </c>
      <c r="D33" s="61" t="s">
        <v>77</v>
      </c>
      <c r="E33" s="61" t="s">
        <v>75</v>
      </c>
      <c r="F33" s="61" t="s">
        <v>76</v>
      </c>
      <c r="G33" s="36" t="s">
        <v>27</v>
      </c>
    </row>
    <row r="34" spans="1:11" ht="15" customHeight="1" thickBot="1">
      <c r="B34" s="70"/>
      <c r="C34" s="62"/>
      <c r="D34" s="62"/>
      <c r="E34" s="62"/>
      <c r="F34" s="62"/>
      <c r="G34" s="37"/>
    </row>
    <row r="35" spans="1:11" ht="16">
      <c r="B35" s="28" t="s">
        <v>54</v>
      </c>
      <c r="C35" s="24">
        <v>0</v>
      </c>
      <c r="D35" s="25">
        <v>30</v>
      </c>
      <c r="E35" s="25">
        <v>0</v>
      </c>
      <c r="F35" s="25">
        <v>340</v>
      </c>
      <c r="G35" s="10">
        <f>IF(OR(ISBLANK(D35), ISBLANK(F35)), "", D35*F35)</f>
        <v>10200</v>
      </c>
      <c r="I35" s="4"/>
      <c r="J35" s="4"/>
    </row>
    <row r="36" spans="1:11" ht="18">
      <c r="B36" s="28" t="s">
        <v>55</v>
      </c>
      <c r="C36" s="24">
        <v>30</v>
      </c>
      <c r="D36" s="25">
        <v>320</v>
      </c>
      <c r="E36" s="25">
        <v>40</v>
      </c>
      <c r="F36" s="25">
        <v>20</v>
      </c>
      <c r="G36" s="11">
        <f t="shared" ref="G36:G40" si="0">IF(OR(ISBLANK(D36), ISBLANK(F36)), "", D36*F36)</f>
        <v>6400</v>
      </c>
      <c r="I36" s="6" t="s">
        <v>63</v>
      </c>
      <c r="J36" s="4"/>
      <c r="K36" s="4"/>
    </row>
    <row r="37" spans="1:11" ht="18">
      <c r="B37" s="28" t="s">
        <v>56</v>
      </c>
      <c r="C37" s="24">
        <v>30</v>
      </c>
      <c r="D37" s="25">
        <v>320</v>
      </c>
      <c r="E37" s="25">
        <v>280</v>
      </c>
      <c r="F37" s="25">
        <v>20</v>
      </c>
      <c r="G37" s="11">
        <f t="shared" si="0"/>
        <v>6400</v>
      </c>
      <c r="I37" s="6" t="s">
        <v>25</v>
      </c>
      <c r="J37" s="4"/>
      <c r="K37" s="4"/>
    </row>
    <row r="38" spans="1:11" ht="18">
      <c r="B38" s="28" t="s">
        <v>57</v>
      </c>
      <c r="C38" s="24">
        <v>350</v>
      </c>
      <c r="D38" s="24">
        <v>30</v>
      </c>
      <c r="E38" s="24">
        <v>20</v>
      </c>
      <c r="F38" s="24">
        <v>300</v>
      </c>
      <c r="G38" s="11">
        <f t="shared" si="0"/>
        <v>9000</v>
      </c>
      <c r="I38" s="6" t="s">
        <v>26</v>
      </c>
      <c r="J38" s="4"/>
      <c r="K38" s="4"/>
    </row>
    <row r="39" spans="1:11" ht="18">
      <c r="B39" s="28" t="s">
        <v>58</v>
      </c>
      <c r="C39" s="24"/>
      <c r="D39" s="25"/>
      <c r="E39" s="25"/>
      <c r="F39" s="25"/>
      <c r="G39" s="11" t="str">
        <f t="shared" si="0"/>
        <v/>
      </c>
      <c r="I39" s="6" t="s">
        <v>24</v>
      </c>
      <c r="J39" s="4"/>
      <c r="K39" s="4"/>
    </row>
    <row r="40" spans="1:11" ht="18">
      <c r="B40" s="28" t="s">
        <v>59</v>
      </c>
      <c r="C40" s="24"/>
      <c r="D40" s="25"/>
      <c r="E40" s="25"/>
      <c r="F40" s="25"/>
      <c r="G40" s="11" t="str">
        <f t="shared" si="0"/>
        <v/>
      </c>
      <c r="I40" s="6" t="s">
        <v>69</v>
      </c>
      <c r="J40" s="4"/>
      <c r="K40" s="4"/>
    </row>
    <row r="41" spans="1:11" ht="16">
      <c r="B41" s="28" t="s">
        <v>60</v>
      </c>
      <c r="C41" s="24"/>
      <c r="D41" s="25"/>
      <c r="E41" s="25"/>
      <c r="F41" s="25"/>
      <c r="G41" s="11" t="str">
        <f>IF(OR(ISBLANK(D41), ISBLANK(F41)), "", D41*F41)</f>
        <v/>
      </c>
      <c r="H41" s="8"/>
      <c r="I41" s="4"/>
      <c r="J41" s="4"/>
    </row>
    <row r="42" spans="1:11" ht="17" thickBot="1">
      <c r="B42" s="29" t="s">
        <v>61</v>
      </c>
      <c r="C42" s="32"/>
      <c r="D42" s="33"/>
      <c r="E42" s="33"/>
      <c r="F42" s="33"/>
      <c r="G42" s="13" t="str">
        <f>IF(OR(ISBLANK(D42), ISBLANK(F42)), "", D42*F42)</f>
        <v/>
      </c>
      <c r="H42" s="8"/>
      <c r="I42" s="4"/>
      <c r="J42" s="4"/>
    </row>
    <row r="43" spans="1:11" ht="16" thickBot="1">
      <c r="D43" s="4"/>
      <c r="E43" s="4"/>
      <c r="F43" s="4"/>
      <c r="G43" s="4"/>
      <c r="H43" s="8"/>
      <c r="I43" s="4"/>
      <c r="J43" s="4"/>
    </row>
    <row r="44" spans="1:11" ht="20" thickBot="1">
      <c r="A44" s="1" t="s">
        <v>23</v>
      </c>
      <c r="B44" s="2"/>
      <c r="C44" s="2"/>
      <c r="D44" s="2"/>
      <c r="E44" s="2"/>
      <c r="F44" s="2"/>
      <c r="G44" s="2"/>
      <c r="H44" s="2"/>
      <c r="I44" s="2"/>
      <c r="J44" s="3"/>
    </row>
    <row r="45" spans="1:11" ht="16" thickBot="1">
      <c r="B45" s="48" t="s">
        <v>32</v>
      </c>
      <c r="C45" s="49"/>
      <c r="D45" s="49"/>
      <c r="E45" s="49"/>
      <c r="F45" s="49"/>
      <c r="G45" s="49"/>
      <c r="H45" s="49"/>
      <c r="I45" s="49"/>
      <c r="J45" s="50"/>
    </row>
    <row r="46" spans="1:11">
      <c r="B46" s="38" t="s">
        <v>62</v>
      </c>
      <c r="C46" s="44" t="s">
        <v>33</v>
      </c>
      <c r="D46" s="44"/>
      <c r="E46" s="44" t="s">
        <v>22</v>
      </c>
      <c r="F46" s="44"/>
      <c r="G46" s="44"/>
      <c r="H46" s="44"/>
      <c r="I46" s="44"/>
      <c r="J46" s="45"/>
    </row>
    <row r="47" spans="1:11" ht="16" thickBot="1">
      <c r="B47" s="39"/>
      <c r="C47" s="46"/>
      <c r="D47" s="46"/>
      <c r="E47" s="46"/>
      <c r="F47" s="46"/>
      <c r="G47" s="46"/>
      <c r="H47" s="46"/>
      <c r="I47" s="46"/>
      <c r="J47" s="47"/>
    </row>
    <row r="48" spans="1:11" ht="16">
      <c r="B48" s="9" t="s">
        <v>54</v>
      </c>
      <c r="C48" s="71">
        <f>(IF(AND(ISNUMBER(G35),ISNUMBER(F35),ISNUMBER(E35)),(G35*((F35/2)+E35)),""))</f>
        <v>1734000</v>
      </c>
      <c r="D48" s="71"/>
      <c r="E48" s="72" t="str">
        <f>IF(AND(ISNUMBER(G35), ISNUMBER(F35), ISNUMBER(E35)),
    G35 &amp; " * ((" &amp; F35 &amp; " / 2) + " &amp; E35 &amp; ")",
    ""
)</f>
        <v>10200 * ((340 / 2) + 0)</v>
      </c>
      <c r="F48" s="73"/>
      <c r="G48" s="73"/>
      <c r="H48" s="73"/>
      <c r="I48" s="73"/>
      <c r="J48" s="74"/>
    </row>
    <row r="49" spans="2:10" ht="16">
      <c r="B49" s="9" t="s">
        <v>55</v>
      </c>
      <c r="C49" s="71">
        <f t="shared" ref="C49:C54" si="1">IF(AND(ISNUMBER(G36), ISNUMBER(F36), ISNUMBER(E36)), (G36*((F36/2)+E36)), "")</f>
        <v>320000</v>
      </c>
      <c r="D49" s="71"/>
      <c r="E49" s="79" t="str">
        <f t="shared" ref="E49:E55" si="2">IF(AND(ISNUMBER(G36), ISNUMBER(F36), ISNUMBER(E36)),
    " + " &amp; G36 &amp; " * ((" &amp; F36 &amp; " / 2) + " &amp; E36 &amp; ")",
    ""
)</f>
        <v xml:space="preserve"> + 6400 * ((20 / 2) + 40)</v>
      </c>
      <c r="F49" s="80"/>
      <c r="G49" s="80"/>
      <c r="H49" s="80"/>
      <c r="I49" s="80"/>
      <c r="J49" s="81"/>
    </row>
    <row r="50" spans="2:10" ht="16">
      <c r="B50" s="9" t="s">
        <v>56</v>
      </c>
      <c r="C50" s="71">
        <f t="shared" si="1"/>
        <v>1856000</v>
      </c>
      <c r="D50" s="71"/>
      <c r="E50" s="79" t="str">
        <f t="shared" si="2"/>
        <v xml:space="preserve"> + 6400 * ((20 / 2) + 280)</v>
      </c>
      <c r="F50" s="80"/>
      <c r="G50" s="80"/>
      <c r="H50" s="80"/>
      <c r="I50" s="80"/>
      <c r="J50" s="81"/>
    </row>
    <row r="51" spans="2:10" ht="16">
      <c r="B51" s="9" t="s">
        <v>57</v>
      </c>
      <c r="C51" s="71">
        <f t="shared" si="1"/>
        <v>1530000</v>
      </c>
      <c r="D51" s="71"/>
      <c r="E51" s="79" t="str">
        <f t="shared" si="2"/>
        <v xml:space="preserve"> + 9000 * ((300 / 2) + 20)</v>
      </c>
      <c r="F51" s="80"/>
      <c r="G51" s="80"/>
      <c r="H51" s="80"/>
      <c r="I51" s="80"/>
      <c r="J51" s="81"/>
    </row>
    <row r="52" spans="2:10" ht="16">
      <c r="B52" s="9" t="s">
        <v>58</v>
      </c>
      <c r="C52" s="71" t="str">
        <f t="shared" si="1"/>
        <v/>
      </c>
      <c r="D52" s="71"/>
      <c r="E52" s="79" t="str">
        <f t="shared" si="2"/>
        <v/>
      </c>
      <c r="F52" s="80"/>
      <c r="G52" s="80"/>
      <c r="H52" s="80"/>
      <c r="I52" s="80"/>
      <c r="J52" s="81"/>
    </row>
    <row r="53" spans="2:10" ht="16">
      <c r="B53" s="9" t="s">
        <v>59</v>
      </c>
      <c r="C53" s="71" t="str">
        <f t="shared" si="1"/>
        <v/>
      </c>
      <c r="D53" s="71"/>
      <c r="E53" s="79" t="str">
        <f t="shared" si="2"/>
        <v/>
      </c>
      <c r="F53" s="80"/>
      <c r="G53" s="80"/>
      <c r="H53" s="80"/>
      <c r="I53" s="80"/>
      <c r="J53" s="81"/>
    </row>
    <row r="54" spans="2:10" ht="16">
      <c r="B54" s="9" t="s">
        <v>60</v>
      </c>
      <c r="C54" s="71" t="str">
        <f t="shared" si="1"/>
        <v/>
      </c>
      <c r="D54" s="71"/>
      <c r="E54" s="79" t="str">
        <f t="shared" si="2"/>
        <v/>
      </c>
      <c r="F54" s="80"/>
      <c r="G54" s="80"/>
      <c r="H54" s="80"/>
      <c r="I54" s="80"/>
      <c r="J54" s="81"/>
    </row>
    <row r="55" spans="2:10" ht="17" thickBot="1">
      <c r="B55" s="12" t="s">
        <v>61</v>
      </c>
      <c r="C55" s="85" t="str">
        <f>IF(AND(ISNUMBER(G42),ISNUMBER(F42),ISNUMBER(E42)),(G42*((F42/2)+E42)), "")</f>
        <v/>
      </c>
      <c r="D55" s="85"/>
      <c r="E55" s="79" t="str">
        <f t="shared" si="2"/>
        <v/>
      </c>
      <c r="F55" s="80"/>
      <c r="G55" s="80"/>
      <c r="H55" s="80"/>
      <c r="I55" s="80"/>
      <c r="J55" s="81"/>
    </row>
    <row r="56" spans="2:10" ht="16">
      <c r="B56" s="15" t="s">
        <v>30</v>
      </c>
      <c r="C56" s="84">
        <f>SUM(C48:C55)</f>
        <v>5440000</v>
      </c>
      <c r="D56" s="84"/>
      <c r="E56" s="4"/>
      <c r="F56" s="4"/>
      <c r="G56" s="4"/>
      <c r="H56" s="8"/>
      <c r="I56" s="4"/>
      <c r="J56" s="18"/>
    </row>
    <row r="57" spans="2:10" ht="17" thickBot="1">
      <c r="B57" s="15" t="s">
        <v>34</v>
      </c>
      <c r="C57" s="71">
        <f>(IF(ISNUMBER(G35),G35,0)
+IF(ISNUMBER(G36),G36,0)
+IF(ISNUMBER(G37),G37,0)
+IF(ISNUMBER(G38),G38,0)
+IF(ISNUMBER(G39),G39,0)
+IF(ISNUMBER(G40),G40,0)
+IF(ISNUMBER(G41),G41,0)
+IF(ISNUMBER(G42),G42,0))</f>
        <v>32000</v>
      </c>
      <c r="D57" s="71"/>
      <c r="E57" s="90" t="str">
        <f>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 "")</f>
        <v>10200 + 6400 + 6400 + 9000</v>
      </c>
      <c r="F57" s="91"/>
      <c r="G57" s="91"/>
      <c r="H57" s="91"/>
      <c r="I57" s="91"/>
      <c r="J57" s="92"/>
    </row>
    <row r="58" spans="2:10" ht="17" thickBot="1">
      <c r="B58" s="16" t="s">
        <v>18</v>
      </c>
      <c r="C58" s="54">
        <f>C56/C57</f>
        <v>170</v>
      </c>
      <c r="D58" s="54"/>
      <c r="E58" s="86" t="str">
        <f>IF(AND(ISNUMBER(G35), ISNUMBER(F35), ISNUMBER(E35)), G35 &amp; " * ((" &amp; F35 &amp; " / 2) + " &amp; E35 &amp; ")", "")
&amp; IF(AND(ISNUMBER(G36), ISNUMBER(F36), ISNUMBER(E36)),
    IF(ISNUMBER(G35), " + ", "") &amp; G36 &amp; " * ((" &amp; F36 &amp; " / 2) + " &amp; E36 &amp; ")", "")
&amp; IF(AND(ISNUMBER(G37), ISNUMBER(F37), ISNUMBER(E37)),
    IF(OR(ISNUMBER(G35), ISNUMBER(G36)), " + ", "") &amp; G37 &amp; " * ((" &amp; F37 &amp; " / 2) + " &amp; E37 &amp; ")", "")
&amp; IF(AND(ISNUMBER(G38), ISNUMBER(F38), ISNUMBER(E38)),
    IF(OR(ISNUMBER(G35), ISNUMBER(G36), ISNUMBER(G37)), " + ", "") &amp; G38 &amp; " * ((" &amp; F38 &amp; " / 2) + " &amp; E38 &amp; ")", "")
&amp; IF(AND(ISNUMBER(G39), ISNUMBER(F39), ISNUMBER(E39)),
    IF(OR(ISNUMBER(G35), ISNUMBER(G36), ISNUMBER(G37), ISNUMBER(G38)), " + ", "") &amp; G39 &amp; " * ((" &amp; F39 &amp; " / 2) + " &amp; E39 &amp; ")", "")
&amp; IF(AND(ISNUMBER(G40), ISNUMBER(F40), ISNUMBER(E40)),
    IF(OR(ISNUMBER(G35), ISNUMBER(G36), ISNUMBER(G37), ISNUMBER(G38), ISNUMBER(G39)), " + ", "") &amp; G40 &amp; " * ((" &amp; F40 &amp; " / 2) + " &amp; E40 &amp; ")", "")
&amp; IF(AND(ISNUMBER(G41), ISNUMBER(F41), ISNUMBER(E41)),
    IF(OR(ISNUMBER(G35), ISNUMBER(G36), ISNUMBER(G37), ISNUMBER(G38), ISNUMBER(G39), ISNUMBER(G40)), " + ", "") &amp; G41 &amp; " * ((" &amp; F41 &amp; " / 2) + " &amp; E41 &amp; ")", "")
&amp; IF(AND(ISNUMBER(G42), ISNUMBER(F42), ISNUMBER(E42)),
    IF(OR(ISNUMBER(G35), ISNUMBER(G36), ISNUMBER(G37), ISNUMBER(G38), ISNUMBER(G39), ISNUMBER(G40), ISNUMBER(G41)), " + ", "") &amp; G42 &amp; " * ((" &amp; F42 &amp; " / 2) + " &amp; E42 &amp; ")", "")
&amp; " / ("
&amp; 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&amp;IF(ISNUMBER(G42),G42,)
&amp; ")"</f>
        <v>10200 * ((340 / 2) + 0) + 6400 * ((20 / 2) + 40) + 6400 * ((20 / 2) + 280) + 9000 * ((300 / 2) + 20) / (10200 + 6400 + 6400 + 9000)</v>
      </c>
      <c r="F58" s="87"/>
      <c r="G58" s="87"/>
      <c r="H58" s="87"/>
      <c r="I58" s="87"/>
      <c r="J58" s="88"/>
    </row>
    <row r="59" spans="2:10" ht="16" thickBot="1">
      <c r="B59" s="48" t="s">
        <v>31</v>
      </c>
      <c r="C59" s="49"/>
      <c r="D59" s="49"/>
      <c r="E59" s="49"/>
      <c r="F59" s="49"/>
      <c r="G59" s="49"/>
      <c r="H59" s="49"/>
      <c r="I59" s="49"/>
      <c r="J59" s="50"/>
    </row>
    <row r="60" spans="2:10">
      <c r="B60" s="38" t="s">
        <v>62</v>
      </c>
      <c r="C60" s="44" t="s">
        <v>33</v>
      </c>
      <c r="D60" s="44"/>
      <c r="E60" s="44" t="s">
        <v>22</v>
      </c>
      <c r="F60" s="44"/>
      <c r="G60" s="44"/>
      <c r="H60" s="44"/>
      <c r="I60" s="44"/>
      <c r="J60" s="45"/>
    </row>
    <row r="61" spans="2:10" ht="16" thickBot="1">
      <c r="B61" s="39"/>
      <c r="C61" s="46"/>
      <c r="D61" s="46"/>
      <c r="E61" s="46"/>
      <c r="F61" s="46"/>
      <c r="G61" s="46"/>
      <c r="H61" s="46"/>
      <c r="I61" s="46"/>
      <c r="J61" s="47"/>
    </row>
    <row r="62" spans="2:10" ht="16">
      <c r="B62" s="9" t="s">
        <v>54</v>
      </c>
      <c r="C62" s="89">
        <f>(IF(AND(ISNUMBER(G35),ISNUMBER(D35),ISNUMBER(C35)),(G35*((D35/2)+C35)),""))</f>
        <v>153000</v>
      </c>
      <c r="D62" s="89"/>
      <c r="E62" s="72" t="str">
        <f>IF(AND(ISNUMBER(G35), ISNUMBER(D35), ISNUMBER(C35)),
    G35 &amp; " * ((" &amp; D35 &amp; " / 2) + " &amp; C35 &amp; ")",
    ""
)</f>
        <v>10200 * ((30 / 2) + 0)</v>
      </c>
      <c r="F62" s="73"/>
      <c r="G62" s="73"/>
      <c r="H62" s="73"/>
      <c r="I62" s="73"/>
      <c r="J62" s="74"/>
    </row>
    <row r="63" spans="2:10" ht="16">
      <c r="B63" s="9" t="s">
        <v>55</v>
      </c>
      <c r="C63" s="89">
        <f t="shared" ref="C63:C68" si="3">IF(AND(ISNUMBER(G36), ISNUMBER(D36), ISNUMBER(C36)), (G36*((D36/2)+C36)), "")</f>
        <v>1216000</v>
      </c>
      <c r="D63" s="89"/>
      <c r="E63" s="79" t="str">
        <f t="shared" ref="E63:E69" si="4">IF(AND(ISNUMBER(G36), ISNUMBER(D36), ISNUMBER(C36)),
    " + " &amp; G36 &amp; " * ((" &amp; D36 &amp; " / 2) + " &amp; C36 &amp; ")",
    ""
)</f>
        <v xml:space="preserve"> + 6400 * ((320 / 2) + 30)</v>
      </c>
      <c r="F63" s="80"/>
      <c r="G63" s="80"/>
      <c r="H63" s="80"/>
      <c r="I63" s="80"/>
      <c r="J63" s="81"/>
    </row>
    <row r="64" spans="2:10" ht="16">
      <c r="B64" s="9" t="s">
        <v>56</v>
      </c>
      <c r="C64" s="89">
        <f t="shared" si="3"/>
        <v>1216000</v>
      </c>
      <c r="D64" s="89"/>
      <c r="E64" s="79" t="str">
        <f t="shared" si="4"/>
        <v xml:space="preserve"> + 6400 * ((320 / 2) + 30)</v>
      </c>
      <c r="F64" s="80"/>
      <c r="G64" s="80"/>
      <c r="H64" s="80"/>
      <c r="I64" s="80"/>
      <c r="J64" s="81"/>
    </row>
    <row r="65" spans="1:16" ht="16">
      <c r="B65" s="9" t="s">
        <v>57</v>
      </c>
      <c r="C65" s="89">
        <f t="shared" si="3"/>
        <v>3285000</v>
      </c>
      <c r="D65" s="89"/>
      <c r="E65" s="79" t="str">
        <f t="shared" si="4"/>
        <v xml:space="preserve"> + 9000 * ((30 / 2) + 350)</v>
      </c>
      <c r="F65" s="80"/>
      <c r="G65" s="80"/>
      <c r="H65" s="80"/>
      <c r="I65" s="80"/>
      <c r="J65" s="81"/>
    </row>
    <row r="66" spans="1:16" ht="16">
      <c r="B66" s="9" t="s">
        <v>58</v>
      </c>
      <c r="C66" s="89" t="str">
        <f t="shared" si="3"/>
        <v/>
      </c>
      <c r="D66" s="89"/>
      <c r="E66" s="79" t="str">
        <f t="shared" si="4"/>
        <v/>
      </c>
      <c r="F66" s="80"/>
      <c r="G66" s="80"/>
      <c r="H66" s="80"/>
      <c r="I66" s="80"/>
      <c r="J66" s="81"/>
    </row>
    <row r="67" spans="1:16" ht="16">
      <c r="B67" s="9" t="s">
        <v>59</v>
      </c>
      <c r="C67" s="89" t="str">
        <f t="shared" si="3"/>
        <v/>
      </c>
      <c r="D67" s="89"/>
      <c r="E67" s="79" t="str">
        <f t="shared" si="4"/>
        <v/>
      </c>
      <c r="F67" s="80"/>
      <c r="G67" s="80"/>
      <c r="H67" s="80"/>
      <c r="I67" s="80"/>
      <c r="J67" s="81"/>
    </row>
    <row r="68" spans="1:16" ht="16">
      <c r="B68" s="9" t="s">
        <v>60</v>
      </c>
      <c r="C68" s="89" t="str">
        <f t="shared" si="3"/>
        <v/>
      </c>
      <c r="D68" s="89"/>
      <c r="E68" s="79" t="str">
        <f t="shared" si="4"/>
        <v/>
      </c>
      <c r="F68" s="80"/>
      <c r="G68" s="80"/>
      <c r="H68" s="80"/>
      <c r="I68" s="80"/>
      <c r="J68" s="81"/>
    </row>
    <row r="69" spans="1:16" ht="17" thickBot="1">
      <c r="B69" s="12" t="s">
        <v>61</v>
      </c>
      <c r="C69" s="93" t="str">
        <f>IF(AND(ISNUMBER(G42),ISNUMBER(D42),ISNUMBER(C42)),(G42*((D42/2)+C42)),"")</f>
        <v/>
      </c>
      <c r="D69" s="93"/>
      <c r="E69" s="79" t="str">
        <f t="shared" si="4"/>
        <v/>
      </c>
      <c r="F69" s="80"/>
      <c r="G69" s="80"/>
      <c r="H69" s="80"/>
      <c r="I69" s="80"/>
      <c r="J69" s="81"/>
    </row>
    <row r="70" spans="1:16" ht="16">
      <c r="B70" s="15" t="s">
        <v>30</v>
      </c>
      <c r="C70" s="84">
        <f>SUM(C62:C69)</f>
        <v>5870000</v>
      </c>
      <c r="D70" s="84"/>
      <c r="E70" s="4"/>
      <c r="F70" s="4"/>
      <c r="G70" s="4"/>
      <c r="H70" s="8"/>
      <c r="I70" s="4"/>
      <c r="J70" s="18"/>
    </row>
    <row r="71" spans="1:16" ht="17" thickBot="1">
      <c r="B71" s="15" t="s">
        <v>34</v>
      </c>
      <c r="C71" s="71">
        <f>(IF(ISNUMBER(G35), G35, 0)
+ IF(ISNUMBER(G36), G36, 0)
+ IF(ISNUMBER(G37), G37, 0)
+ IF(ISNUMBER(G38), G38, 0)
+ IF(ISNUMBER(G39), G39, 0)
+ IF(ISNUMBER(G40), G40, 0)
+ IF(ISNUMBER(G41), G41, 0)
+ IF(ISNUMBER(G42), G42, 0))</f>
        <v>32000</v>
      </c>
      <c r="D71" s="71"/>
      <c r="E71" s="94" t="str">
        <f>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</f>
        <v>10200 + 6400 + 6400 + 9000</v>
      </c>
      <c r="F71" s="91"/>
      <c r="G71" s="91"/>
      <c r="H71" s="91"/>
      <c r="I71" s="91"/>
      <c r="J71" s="92"/>
    </row>
    <row r="72" spans="1:16" ht="17" thickBot="1">
      <c r="B72" s="16" t="s">
        <v>19</v>
      </c>
      <c r="C72" s="54">
        <f>C70/C71</f>
        <v>183.4375</v>
      </c>
      <c r="D72" s="54"/>
      <c r="E72" s="86" t="str">
        <f>IF(AND(ISNUMBER(G35), ISNUMBER(D35), ISNUMBER(C35)),
    G35 &amp; " * ((" &amp; D35 &amp; " / 2) + " &amp; C35 &amp; ")",
    ""
)
&amp; IF(AND(ISNUMBER(G36), ISNUMBER(D36), ISNUMBER(C36)),
    " + " &amp; G36 &amp; " * ((" &amp; D36 &amp; " / 2) + " &amp; C36 &amp; ")",
    ""
)
&amp; IF(AND(ISNUMBER(G37), ISNUMBER(D37), ISNUMBER(C37)),
    " + " &amp; G37 &amp; " * ((" &amp; D37 &amp; " / 2) + " &amp; C37 &amp; ")",
    ""
)
&amp; IF(AND(ISNUMBER(G38), ISNUMBER(D38), ISNUMBER(C38)),
    " + " &amp; G38 &amp; " * ((" &amp; D38 &amp; " / 2) + " &amp; C38 &amp; ")",
    ""
)
&amp; IF(AND(ISNUMBER(G39), ISNUMBER(D39), ISNUMBER(C39)),
    " + " &amp; G39 &amp; " * ((" &amp; D39 &amp; " / 2) + " &amp; C39 &amp; ")",
    ""
)
&amp; IF(AND(ISNUMBER(G40), ISNUMBER(D40), ISNUMBER(C40)),
    " + " &amp; G40 &amp; " * ((" &amp; D40 &amp; " / 2) + " &amp; C40 &amp; ")",
    ""
)
&amp; IF(AND(ISNUMBER(G41), ISNUMBER(D41), ISNUMBER(C41)),
    " + " &amp; G41 &amp; " * ((" &amp; D41 &amp; " / 2) + " &amp; C41 &amp; ")",
    ""
)
&amp; IF(AND(ISNUMBER(G42), ISNUMBER(D42), ISNUMBER(C42)),
    " + " &amp; G42 &amp; " * ((" &amp; D42 &amp; " / 2) + " &amp; C42 &amp; ")",
    ""
)
&amp; " / ("
&amp; 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
&amp; ")"</f>
        <v>10200 * ((30 / 2) + 0) + 6400 * ((320 / 2) + 30) + 6400 * ((320 / 2) + 30) + 9000 * ((30 / 2) + 350) / (10200 + 6400 + 6400 + 9000)</v>
      </c>
      <c r="F72" s="87"/>
      <c r="G72" s="87"/>
      <c r="H72" s="87"/>
      <c r="I72" s="87"/>
      <c r="J72" s="88"/>
    </row>
    <row r="73" spans="1:16" ht="16" thickBot="1">
      <c r="D73" s="4"/>
      <c r="E73" s="4"/>
      <c r="F73" s="4"/>
      <c r="G73" s="4"/>
      <c r="H73" s="8"/>
      <c r="I73" s="4"/>
      <c r="J73" s="4"/>
    </row>
    <row r="74" spans="1:16" ht="20" thickBot="1">
      <c r="A74" s="65" t="s">
        <v>83</v>
      </c>
      <c r="B74" s="66"/>
      <c r="C74" s="66"/>
      <c r="D74" s="66"/>
      <c r="E74" s="66"/>
      <c r="F74" s="66"/>
      <c r="G74" s="66"/>
      <c r="H74" s="66"/>
      <c r="I74" s="66"/>
      <c r="J74" s="67"/>
    </row>
    <row r="75" spans="1:16" ht="16" thickBot="1">
      <c r="B75" s="48" t="s">
        <v>70</v>
      </c>
      <c r="C75" s="49"/>
      <c r="D75" s="49"/>
      <c r="E75" s="49"/>
      <c r="F75" s="49"/>
      <c r="G75" s="49"/>
      <c r="H75" s="49"/>
      <c r="I75" s="49"/>
      <c r="J75" s="50"/>
      <c r="K75" s="4"/>
      <c r="L75" s="4"/>
      <c r="M75" s="4"/>
      <c r="N75" s="4"/>
      <c r="O75" s="4"/>
      <c r="P75" s="4"/>
    </row>
    <row r="76" spans="1:16">
      <c r="B76" s="38" t="s">
        <v>62</v>
      </c>
      <c r="C76" s="40" t="s">
        <v>79</v>
      </c>
      <c r="D76" s="40"/>
      <c r="E76" s="42" t="s">
        <v>14</v>
      </c>
      <c r="F76" s="42"/>
      <c r="G76" s="44" t="s">
        <v>22</v>
      </c>
      <c r="H76" s="44"/>
      <c r="I76" s="44"/>
      <c r="J76" s="45"/>
      <c r="K76" s="4"/>
      <c r="L76" s="4"/>
      <c r="M76" s="4"/>
      <c r="N76" s="4"/>
      <c r="O76" s="4"/>
      <c r="P76" s="4"/>
    </row>
    <row r="77" spans="1:16" ht="16" thickBot="1">
      <c r="B77" s="39"/>
      <c r="C77" s="41"/>
      <c r="D77" s="41"/>
      <c r="E77" s="43"/>
      <c r="F77" s="43"/>
      <c r="G77" s="46"/>
      <c r="H77" s="46"/>
      <c r="I77" s="46"/>
      <c r="J77" s="47"/>
      <c r="K77" s="4" t="s">
        <v>2</v>
      </c>
      <c r="L77" s="4" t="s">
        <v>3</v>
      </c>
      <c r="M77" s="4" t="s">
        <v>4</v>
      </c>
      <c r="N77" s="4" t="s">
        <v>5</v>
      </c>
      <c r="O77" s="4" t="s">
        <v>6</v>
      </c>
      <c r="P77" s="4"/>
    </row>
    <row r="78" spans="1:16" ht="16">
      <c r="B78" s="9" t="s">
        <v>54</v>
      </c>
      <c r="C78" s="68">
        <f>IF(OR(ISBLANK(F35), ISBLANK(E35), ISBLANK(C58)), "", ABS(((F35/2) + E35) -C58))</f>
        <v>0</v>
      </c>
      <c r="D78" s="68"/>
      <c r="E78" s="68">
        <f t="shared" ref="E78:E85" si="5">IF(OR(ISBLANK(D35), ISBLANK(F35), ISBLANK(G35), ISBLANK(C78)), "", IF(C78=0, D35*F35^3*1/12, D35*F35^3*1/12 + G35*C78^2))</f>
        <v>98260000</v>
      </c>
      <c r="F78" s="68"/>
      <c r="G78" s="63" t="str">
        <f t="shared" ref="G78:G85" si="6">IF(OR(ISBLANK(D35), ISBLANK(F35), ISBLANK(G35), ISBLANK(C78)), "",
    IF(C78=0,
    "(" &amp; D35 &amp; " * " &amp; F35 &amp; "³ * (1/12)) = " &amp; ROUND(D35*F35^3*(1/12), 1),
    "(" &amp; D35 &amp; " * " &amp; F35 &amp; "³ * (1/12)) + (" &amp; G35 &amp; " * " &amp; C78 &amp; "²) = " &amp; ROUND((D35*F35^3*(1/12)) + (G35*C78^2), 1)
    )
)</f>
        <v>(30 * 340³ * (1/12)) = 98260000</v>
      </c>
      <c r="H78" s="63"/>
      <c r="I78" s="63"/>
      <c r="J78" s="64"/>
      <c r="K78" s="4">
        <f t="shared" ref="K78:K85" si="7">C35</f>
        <v>0</v>
      </c>
      <c r="L78" s="4">
        <f t="shared" ref="L78:L85" si="8">C35+D35</f>
        <v>30</v>
      </c>
      <c r="M78" s="4">
        <f t="shared" ref="M78:M85" si="9">C35+D35</f>
        <v>30</v>
      </c>
      <c r="N78" s="4">
        <f t="shared" ref="N78:N85" si="10">C35</f>
        <v>0</v>
      </c>
      <c r="O78" s="4">
        <f t="shared" ref="O78:O85" si="11">C35</f>
        <v>0</v>
      </c>
      <c r="P78" s="4"/>
    </row>
    <row r="79" spans="1:16" ht="16">
      <c r="B79" s="9" t="s">
        <v>55</v>
      </c>
      <c r="C79" s="51">
        <f>IF(OR(ISBLANK(F36), ISBLANK(E36), ISBLANK(C58)), "", ABS(((F36/2) + E36) -C58))</f>
        <v>120</v>
      </c>
      <c r="D79" s="51"/>
      <c r="E79" s="51">
        <f t="shared" si="5"/>
        <v>92373333.333333328</v>
      </c>
      <c r="F79" s="51"/>
      <c r="G79" s="52" t="str">
        <f t="shared" si="6"/>
        <v>(320 * 20³ * (1/12)) + (6400 * 120²) = 92373333.3</v>
      </c>
      <c r="H79" s="52"/>
      <c r="I79" s="52"/>
      <c r="J79" s="53"/>
      <c r="K79" s="4">
        <f t="shared" si="7"/>
        <v>30</v>
      </c>
      <c r="L79" s="14">
        <f t="shared" si="8"/>
        <v>350</v>
      </c>
      <c r="M79" s="14">
        <f t="shared" si="9"/>
        <v>350</v>
      </c>
      <c r="N79" s="14">
        <f t="shared" si="10"/>
        <v>30</v>
      </c>
      <c r="O79" s="14">
        <f t="shared" si="11"/>
        <v>30</v>
      </c>
      <c r="P79" s="4"/>
    </row>
    <row r="80" spans="1:16" ht="16">
      <c r="B80" s="9" t="s">
        <v>56</v>
      </c>
      <c r="C80" s="51">
        <f>IF(OR(ISBLANK(F37), ISBLANK(E37), ISBLANK(C58)), "", ABS(((F37/2) + E37) -C58))</f>
        <v>120</v>
      </c>
      <c r="D80" s="51"/>
      <c r="E80" s="51">
        <f t="shared" si="5"/>
        <v>92373333.333333328</v>
      </c>
      <c r="F80" s="51"/>
      <c r="G80" s="52" t="str">
        <f t="shared" si="6"/>
        <v>(320 * 20³ * (1/12)) + (6400 * 120²) = 92373333.3</v>
      </c>
      <c r="H80" s="52"/>
      <c r="I80" s="52"/>
      <c r="J80" s="53"/>
      <c r="K80" s="4">
        <f t="shared" si="7"/>
        <v>30</v>
      </c>
      <c r="L80" s="14">
        <f t="shared" si="8"/>
        <v>350</v>
      </c>
      <c r="M80" s="14">
        <f t="shared" si="9"/>
        <v>350</v>
      </c>
      <c r="N80" s="14">
        <f t="shared" si="10"/>
        <v>30</v>
      </c>
      <c r="O80" s="14">
        <f t="shared" si="11"/>
        <v>30</v>
      </c>
      <c r="P80" s="4"/>
    </row>
    <row r="81" spans="1:16" ht="16">
      <c r="B81" s="9" t="s">
        <v>57</v>
      </c>
      <c r="C81" s="51">
        <f>IF(OR(ISBLANK(F38), ISBLANK(E38), ISBLANK(C58)), "", ABS(((F38/2) + E38) -C58))</f>
        <v>0</v>
      </c>
      <c r="D81" s="51"/>
      <c r="E81" s="51">
        <f t="shared" si="5"/>
        <v>67500000</v>
      </c>
      <c r="F81" s="51"/>
      <c r="G81" s="52" t="str">
        <f t="shared" si="6"/>
        <v>(30 * 300³ * (1/12)) = 67500000</v>
      </c>
      <c r="H81" s="52"/>
      <c r="I81" s="52"/>
      <c r="J81" s="53"/>
      <c r="K81" s="4">
        <f t="shared" si="7"/>
        <v>350</v>
      </c>
      <c r="L81" s="14">
        <f t="shared" si="8"/>
        <v>380</v>
      </c>
      <c r="M81" s="14">
        <f t="shared" si="9"/>
        <v>380</v>
      </c>
      <c r="N81" s="14">
        <f t="shared" si="10"/>
        <v>350</v>
      </c>
      <c r="O81" s="14">
        <f t="shared" si="11"/>
        <v>350</v>
      </c>
      <c r="P81" s="4"/>
    </row>
    <row r="82" spans="1:16" ht="16">
      <c r="B82" s="9" t="s">
        <v>58</v>
      </c>
      <c r="C82" s="51" t="str">
        <f>IF(OR(ISBLANK(F39), ISBLANK(E39), ISBLANK(C58)), "", ABS(((F39/2) + E39) -C58))</f>
        <v/>
      </c>
      <c r="D82" s="51"/>
      <c r="E82" s="51" t="str">
        <f t="shared" si="5"/>
        <v/>
      </c>
      <c r="F82" s="51"/>
      <c r="G82" s="52" t="str">
        <f t="shared" si="6"/>
        <v/>
      </c>
      <c r="H82" s="52"/>
      <c r="I82" s="52"/>
      <c r="J82" s="53"/>
      <c r="K82" s="14">
        <f t="shared" si="7"/>
        <v>0</v>
      </c>
      <c r="L82" s="14">
        <f t="shared" si="8"/>
        <v>0</v>
      </c>
      <c r="M82" s="14">
        <f t="shared" si="9"/>
        <v>0</v>
      </c>
      <c r="N82" s="14">
        <f t="shared" si="10"/>
        <v>0</v>
      </c>
      <c r="O82" s="14">
        <f t="shared" si="11"/>
        <v>0</v>
      </c>
      <c r="P82" s="4"/>
    </row>
    <row r="83" spans="1:16" ht="16">
      <c r="B83" s="9" t="s">
        <v>59</v>
      </c>
      <c r="C83" s="51" t="str">
        <f>IF(OR(ISBLANK(F40), ISBLANK(E40), ISBLANK(C58)), "", ABS(((F40/2) + E40) -C58))</f>
        <v/>
      </c>
      <c r="D83" s="51"/>
      <c r="E83" s="51" t="str">
        <f t="shared" si="5"/>
        <v/>
      </c>
      <c r="F83" s="51"/>
      <c r="G83" s="52" t="str">
        <f t="shared" si="6"/>
        <v/>
      </c>
      <c r="H83" s="52"/>
      <c r="I83" s="52"/>
      <c r="J83" s="53"/>
      <c r="K83" s="14">
        <f t="shared" si="7"/>
        <v>0</v>
      </c>
      <c r="L83" s="14">
        <f t="shared" si="8"/>
        <v>0</v>
      </c>
      <c r="M83" s="14">
        <f t="shared" si="9"/>
        <v>0</v>
      </c>
      <c r="N83" s="14">
        <f t="shared" si="10"/>
        <v>0</v>
      </c>
      <c r="O83" s="14">
        <f t="shared" si="11"/>
        <v>0</v>
      </c>
      <c r="P83" s="4"/>
    </row>
    <row r="84" spans="1:16" ht="16">
      <c r="B84" s="9" t="s">
        <v>60</v>
      </c>
      <c r="C84" s="51" t="str">
        <f>IF(OR(ISBLANK(F41), ISBLANK(E41), ISBLANK(C58)), "", ABS(((F41/2) + E41) -C58))</f>
        <v/>
      </c>
      <c r="D84" s="51"/>
      <c r="E84" s="51" t="str">
        <f t="shared" si="5"/>
        <v/>
      </c>
      <c r="F84" s="51"/>
      <c r="G84" s="52" t="str">
        <f t="shared" si="6"/>
        <v/>
      </c>
      <c r="H84" s="52"/>
      <c r="I84" s="52"/>
      <c r="J84" s="53"/>
      <c r="K84" s="14">
        <f t="shared" si="7"/>
        <v>0</v>
      </c>
      <c r="L84" s="14">
        <f t="shared" si="8"/>
        <v>0</v>
      </c>
      <c r="M84" s="14">
        <f t="shared" si="9"/>
        <v>0</v>
      </c>
      <c r="N84" s="14">
        <f t="shared" si="10"/>
        <v>0</v>
      </c>
      <c r="O84" s="14">
        <f t="shared" si="11"/>
        <v>0</v>
      </c>
      <c r="P84" s="4"/>
    </row>
    <row r="85" spans="1:16" ht="17" thickBot="1">
      <c r="B85" s="12" t="s">
        <v>61</v>
      </c>
      <c r="C85" s="55" t="str">
        <f>IF(OR(ISBLANK(F42), ISBLANK(E42), ISBLANK(C58)), "", ABS(((F42/2) + E42) -C58))</f>
        <v/>
      </c>
      <c r="D85" s="55"/>
      <c r="E85" s="55" t="str">
        <f t="shared" si="5"/>
        <v/>
      </c>
      <c r="F85" s="55"/>
      <c r="G85" s="56" t="str">
        <f t="shared" si="6"/>
        <v/>
      </c>
      <c r="H85" s="56"/>
      <c r="I85" s="56"/>
      <c r="J85" s="57"/>
      <c r="K85" s="14">
        <f t="shared" si="7"/>
        <v>0</v>
      </c>
      <c r="L85" s="14">
        <f t="shared" si="8"/>
        <v>0</v>
      </c>
      <c r="M85" s="14">
        <f t="shared" si="9"/>
        <v>0</v>
      </c>
      <c r="N85" s="14">
        <f t="shared" si="10"/>
        <v>0</v>
      </c>
      <c r="O85" s="14">
        <f t="shared" si="11"/>
        <v>0</v>
      </c>
      <c r="P85" s="4"/>
    </row>
    <row r="86" spans="1:16" ht="17" thickBot="1">
      <c r="B86" s="16" t="s">
        <v>30</v>
      </c>
      <c r="C86" s="17"/>
      <c r="D86" s="17"/>
      <c r="E86" s="54">
        <f>SUM(E78:E85)</f>
        <v>350506666.66666663</v>
      </c>
      <c r="F86" s="54"/>
      <c r="G86" s="58" t="str">
        <f>"Iy = "&amp;(ROUND(E86/10^6,2))&amp;" * 10⁶"</f>
        <v>Iy = 350.51 * 10⁶</v>
      </c>
      <c r="H86" s="59"/>
      <c r="I86" s="59"/>
      <c r="J86" s="60"/>
      <c r="K86" s="4"/>
      <c r="L86" s="4"/>
      <c r="M86" s="4"/>
      <c r="N86" s="4"/>
      <c r="O86" s="4"/>
      <c r="P86" s="4"/>
    </row>
    <row r="87" spans="1:16" ht="16" thickBot="1">
      <c r="B87" s="48" t="s">
        <v>71</v>
      </c>
      <c r="C87" s="49"/>
      <c r="D87" s="49"/>
      <c r="E87" s="49"/>
      <c r="F87" s="49"/>
      <c r="G87" s="49"/>
      <c r="H87" s="49"/>
      <c r="I87" s="49"/>
      <c r="J87" s="50"/>
      <c r="K87" s="4"/>
      <c r="L87" s="4"/>
      <c r="M87" s="4"/>
      <c r="N87" s="4"/>
      <c r="O87" s="4"/>
      <c r="P87" s="4"/>
    </row>
    <row r="88" spans="1:16">
      <c r="B88" s="38" t="s">
        <v>62</v>
      </c>
      <c r="C88" s="40" t="s">
        <v>78</v>
      </c>
      <c r="D88" s="40"/>
      <c r="E88" s="42" t="s">
        <v>15</v>
      </c>
      <c r="F88" s="42"/>
      <c r="G88" s="44" t="s">
        <v>22</v>
      </c>
      <c r="H88" s="44"/>
      <c r="I88" s="44"/>
      <c r="J88" s="45"/>
      <c r="K88" s="4"/>
      <c r="L88" s="4"/>
      <c r="M88" s="4"/>
      <c r="N88" s="4"/>
      <c r="O88" s="4"/>
      <c r="P88" s="4"/>
    </row>
    <row r="89" spans="1:16" ht="16" thickBot="1">
      <c r="B89" s="39"/>
      <c r="C89" s="41"/>
      <c r="D89" s="41"/>
      <c r="E89" s="43"/>
      <c r="F89" s="43"/>
      <c r="G89" s="46"/>
      <c r="H89" s="46"/>
      <c r="I89" s="46"/>
      <c r="J89" s="47"/>
      <c r="K89" s="14" t="s">
        <v>7</v>
      </c>
      <c r="L89" s="14" t="s">
        <v>8</v>
      </c>
      <c r="M89" s="14" t="s">
        <v>9</v>
      </c>
      <c r="N89" s="14" t="s">
        <v>10</v>
      </c>
      <c r="O89" s="14" t="s">
        <v>11</v>
      </c>
      <c r="P89" s="4"/>
    </row>
    <row r="90" spans="1:16" ht="16">
      <c r="B90" s="9" t="s">
        <v>54</v>
      </c>
      <c r="C90" s="68">
        <f>IF(OR(ISBLANK(D35), ISBLANK(C35), ISBLANK(C72)), "", ABS(((D35/2) + C35) -C72))</f>
        <v>168.4375</v>
      </c>
      <c r="D90" s="68"/>
      <c r="E90" s="68">
        <f t="shared" ref="E90:E97" si="12">IF(OR(ISBLANK(F35), ISBLANK(D35), ISBLANK(G35), ISBLANK(C90)), "",
    IF(C90=0, (F35*D35^3*1/12), (F35*D35^3*1/12) + (G35*C90^2))
)</f>
        <v>290151152.34375</v>
      </c>
      <c r="F90" s="68"/>
      <c r="G90" s="52" t="str">
        <f t="shared" ref="G90:G97" si="13">IF(OR(ISBLANK(F35), ISBLANK(D35), ISBLANK(G35), ISBLANK(C90)), "",
    IF(C90=0,
    "(" &amp; F35 &amp; " * " &amp; D35 &amp; "³ * (1/12)) = " &amp; ROUND(F35*D35^3*(1/12), 1),
    "(" &amp; F35 &amp; " * " &amp; D35 &amp; "³ * (1/12)) + (" &amp; G35 &amp; " * " &amp; C90 &amp; "²) = " &amp; ROUND((F35*D35^3*(1/12)) + (G35*C90^2), 1)
    )
)</f>
        <v>(340 * 30³ * (1/12)) + (10200 * 168.4375²) = 290151152.3</v>
      </c>
      <c r="H90" s="52"/>
      <c r="I90" s="52"/>
      <c r="J90" s="53"/>
      <c r="K90" s="14">
        <f t="shared" ref="K90:K97" si="14">E35</f>
        <v>0</v>
      </c>
      <c r="L90" s="14">
        <f t="shared" ref="L90:L97" si="15">E35</f>
        <v>0</v>
      </c>
      <c r="M90" s="14">
        <f t="shared" ref="M90:M97" si="16">E35+F35</f>
        <v>340</v>
      </c>
      <c r="N90" s="14">
        <f t="shared" ref="N90:N97" si="17">E35+F35</f>
        <v>340</v>
      </c>
      <c r="O90" s="14">
        <f t="shared" ref="O90:O97" si="18">E35</f>
        <v>0</v>
      </c>
      <c r="P90" s="4"/>
    </row>
    <row r="91" spans="1:16" ht="16">
      <c r="B91" s="9" t="s">
        <v>55</v>
      </c>
      <c r="C91" s="68">
        <f>IF(OR(ISBLANK(D36), ISBLANK(C36), ISBLANK(C72)), "", ABS(((D36/2) + C36) - C72))</f>
        <v>6.5625</v>
      </c>
      <c r="D91" s="68"/>
      <c r="E91" s="68">
        <f t="shared" si="12"/>
        <v>54888958.333333336</v>
      </c>
      <c r="F91" s="68"/>
      <c r="G91" s="52" t="str">
        <f t="shared" si="13"/>
        <v>(20 * 320³ * (1/12)) + (6400 * 6.5625²) = 54888958.3</v>
      </c>
      <c r="H91" s="52"/>
      <c r="I91" s="52"/>
      <c r="J91" s="53"/>
      <c r="K91" s="14">
        <f t="shared" si="14"/>
        <v>40</v>
      </c>
      <c r="L91" s="14">
        <f t="shared" si="15"/>
        <v>40</v>
      </c>
      <c r="M91" s="14">
        <f t="shared" si="16"/>
        <v>60</v>
      </c>
      <c r="N91" s="14">
        <f t="shared" si="17"/>
        <v>60</v>
      </c>
      <c r="O91" s="14">
        <f t="shared" si="18"/>
        <v>40</v>
      </c>
      <c r="P91" s="4"/>
    </row>
    <row r="92" spans="1:16" ht="16">
      <c r="B92" s="9" t="s">
        <v>56</v>
      </c>
      <c r="C92" s="68">
        <f>IF(OR(ISBLANK(D37), ISBLANK(C37), ISBLANK(C72)), "", ABS(((D37/2) + C37) -C72))</f>
        <v>6.5625</v>
      </c>
      <c r="D92" s="68"/>
      <c r="E92" s="68">
        <f t="shared" si="12"/>
        <v>54888958.333333336</v>
      </c>
      <c r="F92" s="68"/>
      <c r="G92" s="52" t="str">
        <f t="shared" si="13"/>
        <v>(20 * 320³ * (1/12)) + (6400 * 6.5625²) = 54888958.3</v>
      </c>
      <c r="H92" s="52"/>
      <c r="I92" s="52"/>
      <c r="J92" s="53"/>
      <c r="K92" s="14">
        <f t="shared" si="14"/>
        <v>280</v>
      </c>
      <c r="L92" s="14">
        <f t="shared" si="15"/>
        <v>280</v>
      </c>
      <c r="M92" s="14">
        <f t="shared" si="16"/>
        <v>300</v>
      </c>
      <c r="N92" s="14">
        <f t="shared" si="17"/>
        <v>300</v>
      </c>
      <c r="O92" s="14">
        <f t="shared" si="18"/>
        <v>280</v>
      </c>
      <c r="P92" s="4"/>
    </row>
    <row r="93" spans="1:16" ht="16">
      <c r="B93" s="9" t="s">
        <v>57</v>
      </c>
      <c r="C93" s="68">
        <f>IF(OR(ISBLANK(D38), ISBLANK(C38), ISBLANK(C72)), "", ABS(((D38/2) + C38) -C72))</f>
        <v>181.5625</v>
      </c>
      <c r="D93" s="68"/>
      <c r="E93" s="68">
        <f t="shared" si="12"/>
        <v>297359472.65625</v>
      </c>
      <c r="F93" s="68"/>
      <c r="G93" s="52" t="str">
        <f t="shared" si="13"/>
        <v>(300 * 30³ * (1/12)) + (9000 * 181.5625²) = 297359472.7</v>
      </c>
      <c r="H93" s="52"/>
      <c r="I93" s="52"/>
      <c r="J93" s="53"/>
      <c r="K93" s="14">
        <f t="shared" si="14"/>
        <v>20</v>
      </c>
      <c r="L93" s="14">
        <f t="shared" si="15"/>
        <v>20</v>
      </c>
      <c r="M93" s="14">
        <f t="shared" si="16"/>
        <v>320</v>
      </c>
      <c r="N93" s="14">
        <f t="shared" si="17"/>
        <v>320</v>
      </c>
      <c r="O93" s="14">
        <f t="shared" si="18"/>
        <v>20</v>
      </c>
      <c r="P93" s="4"/>
    </row>
    <row r="94" spans="1:16" ht="16">
      <c r="B94" s="9" t="s">
        <v>58</v>
      </c>
      <c r="C94" s="68" t="str">
        <f>IF(OR(ISBLANK(D39), ISBLANK(C39), ISBLANK(C72)), "", ABS(((D39/2) + C39) -C72))</f>
        <v/>
      </c>
      <c r="D94" s="68"/>
      <c r="E94" s="68" t="str">
        <f t="shared" si="12"/>
        <v/>
      </c>
      <c r="F94" s="68"/>
      <c r="G94" s="52" t="str">
        <f t="shared" si="13"/>
        <v/>
      </c>
      <c r="H94" s="52"/>
      <c r="I94" s="52"/>
      <c r="J94" s="53"/>
      <c r="K94" s="14">
        <f t="shared" si="14"/>
        <v>0</v>
      </c>
      <c r="L94" s="14">
        <f t="shared" si="15"/>
        <v>0</v>
      </c>
      <c r="M94" s="14">
        <f t="shared" si="16"/>
        <v>0</v>
      </c>
      <c r="N94" s="14">
        <f t="shared" si="17"/>
        <v>0</v>
      </c>
      <c r="O94" s="14">
        <f t="shared" si="18"/>
        <v>0</v>
      </c>
      <c r="P94" s="4"/>
    </row>
    <row r="95" spans="1:16" ht="16">
      <c r="A95" s="9"/>
      <c r="B95" s="9" t="s">
        <v>59</v>
      </c>
      <c r="C95" s="68" t="str">
        <f>IF(OR(ISBLANK(D40), ISBLANK(C40), ISBLANK(C72)), "", ABS(((D40/2) + C40) -C72))</f>
        <v/>
      </c>
      <c r="D95" s="68"/>
      <c r="E95" s="68" t="str">
        <f t="shared" si="12"/>
        <v/>
      </c>
      <c r="F95" s="68"/>
      <c r="G95" s="52" t="str">
        <f t="shared" si="13"/>
        <v/>
      </c>
      <c r="H95" s="52"/>
      <c r="I95" s="52"/>
      <c r="J95" s="53"/>
      <c r="K95" s="14">
        <f t="shared" si="14"/>
        <v>0</v>
      </c>
      <c r="L95" s="14">
        <f t="shared" si="15"/>
        <v>0</v>
      </c>
      <c r="M95" s="14">
        <f t="shared" si="16"/>
        <v>0</v>
      </c>
      <c r="N95" s="14">
        <f t="shared" si="17"/>
        <v>0</v>
      </c>
      <c r="O95" s="14">
        <f t="shared" si="18"/>
        <v>0</v>
      </c>
      <c r="P95" s="4"/>
    </row>
    <row r="96" spans="1:16" ht="16">
      <c r="A96" s="9"/>
      <c r="B96" s="9" t="s">
        <v>60</v>
      </c>
      <c r="C96" s="68" t="str">
        <f>IF(OR(ISBLANK(D41), ISBLANK(C41), ISBLANK(C72)), "", ABS(((D41/2) + C41) -C72))</f>
        <v/>
      </c>
      <c r="D96" s="68"/>
      <c r="E96" s="68" t="str">
        <f t="shared" si="12"/>
        <v/>
      </c>
      <c r="F96" s="68"/>
      <c r="G96" s="52" t="str">
        <f t="shared" si="13"/>
        <v/>
      </c>
      <c r="H96" s="52"/>
      <c r="I96" s="52"/>
      <c r="J96" s="53"/>
      <c r="K96" s="14">
        <f t="shared" si="14"/>
        <v>0</v>
      </c>
      <c r="L96" s="14">
        <f t="shared" si="15"/>
        <v>0</v>
      </c>
      <c r="M96" s="14">
        <f t="shared" si="16"/>
        <v>0</v>
      </c>
      <c r="N96" s="14">
        <f t="shared" si="17"/>
        <v>0</v>
      </c>
      <c r="O96" s="14">
        <f t="shared" si="18"/>
        <v>0</v>
      </c>
      <c r="P96" s="4"/>
    </row>
    <row r="97" spans="1:16" ht="17" thickBot="1">
      <c r="A97" s="9"/>
      <c r="B97" s="12" t="s">
        <v>61</v>
      </c>
      <c r="C97" s="75" t="str">
        <f>IF(OR(ISBLANK(D42), ISBLANK(C42), ISBLANK(C72)), "", ABS(((D42/2) + C42) -C72))</f>
        <v/>
      </c>
      <c r="D97" s="75"/>
      <c r="E97" s="75" t="str">
        <f t="shared" si="12"/>
        <v/>
      </c>
      <c r="F97" s="75"/>
      <c r="G97" s="56" t="str">
        <f t="shared" si="13"/>
        <v/>
      </c>
      <c r="H97" s="56"/>
      <c r="I97" s="56"/>
      <c r="J97" s="57"/>
      <c r="K97" s="14">
        <f t="shared" si="14"/>
        <v>0</v>
      </c>
      <c r="L97" s="14">
        <f t="shared" si="15"/>
        <v>0</v>
      </c>
      <c r="M97" s="14">
        <f t="shared" si="16"/>
        <v>0</v>
      </c>
      <c r="N97" s="14">
        <f t="shared" si="17"/>
        <v>0</v>
      </c>
      <c r="O97" s="14">
        <f t="shared" si="18"/>
        <v>0</v>
      </c>
      <c r="P97" s="4"/>
    </row>
    <row r="98" spans="1:16" ht="17" thickBot="1">
      <c r="B98" s="16" t="s">
        <v>30</v>
      </c>
      <c r="C98" s="19"/>
      <c r="D98" s="17"/>
      <c r="E98" s="78">
        <f>SUM(E90:E97)</f>
        <v>697288541.66666663</v>
      </c>
      <c r="F98" s="78"/>
      <c r="G98" s="76" t="str">
        <f>"Iz = "&amp;(ROUND(E98/10^6,2)&amp;" * 10⁶")</f>
        <v>Iz = 697.29 * 10⁶</v>
      </c>
      <c r="H98" s="76"/>
      <c r="I98" s="76"/>
      <c r="J98" s="77"/>
      <c r="K98" s="4"/>
      <c r="L98" s="4"/>
      <c r="M98" s="4"/>
      <c r="N98" s="4"/>
      <c r="O98" s="4"/>
      <c r="P98" s="4"/>
    </row>
    <row r="99" spans="1:16" ht="16" thickBot="1"/>
    <row r="100" spans="1:16" ht="20" thickBot="1">
      <c r="A100" s="65" t="s">
        <v>80</v>
      </c>
      <c r="B100" s="66"/>
      <c r="C100" s="66"/>
      <c r="D100" s="66"/>
      <c r="E100" s="66"/>
      <c r="F100" s="66"/>
      <c r="G100" s="66"/>
      <c r="H100" s="66"/>
      <c r="I100" s="66"/>
      <c r="J100" s="67"/>
    </row>
    <row r="101" spans="1:16" ht="16" thickBot="1">
      <c r="B101" s="48" t="s">
        <v>81</v>
      </c>
      <c r="C101" s="49"/>
      <c r="D101" s="49"/>
      <c r="E101" s="49"/>
      <c r="F101" s="49"/>
      <c r="G101" s="49"/>
      <c r="H101" s="49"/>
      <c r="I101" s="49"/>
      <c r="J101" s="50"/>
    </row>
    <row r="102" spans="1:16">
      <c r="B102" s="38" t="s">
        <v>29</v>
      </c>
      <c r="C102" s="44" t="s">
        <v>64</v>
      </c>
      <c r="D102" s="44"/>
      <c r="E102" s="44" t="s">
        <v>68</v>
      </c>
      <c r="F102" s="44"/>
      <c r="G102" s="44" t="s">
        <v>48</v>
      </c>
      <c r="H102" s="44" t="s">
        <v>28</v>
      </c>
      <c r="I102" s="44" t="s">
        <v>22</v>
      </c>
      <c r="J102" s="45"/>
    </row>
    <row r="103" spans="1:16" ht="16" thickBot="1">
      <c r="B103" s="39"/>
      <c r="C103" s="46"/>
      <c r="D103" s="46"/>
      <c r="E103" s="46"/>
      <c r="F103" s="46"/>
      <c r="G103" s="46"/>
      <c r="H103" s="46"/>
      <c r="I103" s="46"/>
      <c r="J103" s="47"/>
    </row>
    <row r="104" spans="1:16" ht="16">
      <c r="B104" s="22" t="s">
        <v>46</v>
      </c>
      <c r="C104" s="71">
        <f>C72</f>
        <v>183.4375</v>
      </c>
      <c r="D104" s="71"/>
      <c r="E104" s="71" cm="1">
        <f t="array" ref="E104">MAX(C35:C42 + D35:D42)</f>
        <v>380</v>
      </c>
      <c r="F104" s="71"/>
      <c r="G104" s="27">
        <f>ABS(E104-C104)</f>
        <v>196.5625</v>
      </c>
      <c r="H104" s="34">
        <f>E98/G104</f>
        <v>3547413.8844727078</v>
      </c>
      <c r="I104" s="52" t="str">
        <f>IF(OR(ISBLANK(E98), ISBLANK(G104)), "",
    IF(G104=0, "",
        "Wo,Y = " &amp; ROUND(E98, 2) &amp; " / " &amp; ROUND(G104, 2) &amp; " / 10^6 = " &amp; ROUND((E98/G104)/10^6, 2) &amp; " * 10^6"
    )
)</f>
        <v>Wo,Y = 697288541.67 / 196.56 / 10^6 = 3.55 * 10^6</v>
      </c>
      <c r="J104" s="53"/>
    </row>
    <row r="105" spans="1:16" ht="17" thickBot="1">
      <c r="B105" s="22" t="s">
        <v>47</v>
      </c>
      <c r="C105" s="85">
        <f>C72</f>
        <v>183.4375</v>
      </c>
      <c r="D105" s="85"/>
      <c r="E105" s="85" cm="1">
        <f t="array" ref="E105">MAX(C35:C42 + D35:D42)</f>
        <v>380</v>
      </c>
      <c r="F105" s="85"/>
      <c r="G105" s="31">
        <f>ABS(E105-C105)</f>
        <v>196.5625</v>
      </c>
      <c r="H105" s="34">
        <f>E98/C105</f>
        <v>3801232.2544009085</v>
      </c>
      <c r="I105" s="82" t="str">
        <f>IF(OR(ISBLANK(E98), ISBLANK(C105)), "",
    IF(C105=0, "",
        "Wu,Y = " &amp; ROUND(E98, 2) &amp; " / " &amp; ROUND(C105, 2) &amp; " / 10^6 = " &amp; ROUND((E98/C105)/10^6, 2) &amp; " * 10^6"
    )
)</f>
        <v>Wu,Y = 697288541.67 / 183.44 / 10^6 = 3.8 * 10^6</v>
      </c>
      <c r="J105" s="83"/>
    </row>
    <row r="106" spans="1:16" ht="16" thickBot="1">
      <c r="B106" s="48" t="s">
        <v>82</v>
      </c>
      <c r="C106" s="49"/>
      <c r="D106" s="49"/>
      <c r="E106" s="49"/>
      <c r="F106" s="49"/>
      <c r="G106" s="49"/>
      <c r="H106" s="49"/>
      <c r="I106" s="49"/>
      <c r="J106" s="50"/>
    </row>
    <row r="107" spans="1:16">
      <c r="B107" s="38" t="s">
        <v>29</v>
      </c>
      <c r="C107" s="44" t="s">
        <v>66</v>
      </c>
      <c r="D107" s="44"/>
      <c r="E107" s="44" t="s">
        <v>67</v>
      </c>
      <c r="F107" s="44"/>
      <c r="G107" s="44" t="s">
        <v>65</v>
      </c>
      <c r="H107" s="44" t="s">
        <v>28</v>
      </c>
      <c r="I107" s="44" t="s">
        <v>22</v>
      </c>
      <c r="J107" s="45"/>
    </row>
    <row r="108" spans="1:16" ht="16" thickBot="1">
      <c r="B108" s="39"/>
      <c r="C108" s="46"/>
      <c r="D108" s="46"/>
      <c r="E108" s="46"/>
      <c r="F108" s="46"/>
      <c r="G108" s="46"/>
      <c r="H108" s="46"/>
      <c r="I108" s="46"/>
      <c r="J108" s="47"/>
    </row>
    <row r="109" spans="1:16" ht="16">
      <c r="B109" s="22" t="s">
        <v>45</v>
      </c>
      <c r="C109" s="84">
        <f>C58</f>
        <v>170</v>
      </c>
      <c r="D109" s="84"/>
      <c r="E109" s="84" cm="1">
        <f t="array" ref="E109">MAX(E35:E42 + F35:F42)</f>
        <v>340</v>
      </c>
      <c r="F109" s="84"/>
      <c r="G109" s="30">
        <f>ABS(C109-E109)</f>
        <v>170</v>
      </c>
      <c r="H109" s="34">
        <f>E86/G109</f>
        <v>2061803.9215686272</v>
      </c>
      <c r="I109" s="63" t="str">
        <f>IF(OR(ISBLANK(E86), ISBLANK(G109)), "",
    IF(G109=0, "",
        "Wo,Z = " &amp; ROUND(E86, 2) &amp; " / " &amp; ROUND(G109, 2) &amp; " / 10^6 = " &amp; ROUND((E86/G109)/10^6, 2) &amp; " * 10^6"
    )
)</f>
        <v>Wo,Z = 350506666.67 / 170 / 10^6 = 2.06 * 10^6</v>
      </c>
      <c r="J109" s="64"/>
    </row>
    <row r="110" spans="1:16" ht="17" thickBot="1">
      <c r="B110" s="23" t="s">
        <v>44</v>
      </c>
      <c r="C110" s="85">
        <f>C58</f>
        <v>170</v>
      </c>
      <c r="D110" s="85"/>
      <c r="E110" s="85" cm="1">
        <f t="array" ref="E110">MAX(E35:E42 + F35:F42)</f>
        <v>340</v>
      </c>
      <c r="F110" s="85"/>
      <c r="G110" s="31">
        <f>ABS(C110-E110)</f>
        <v>170</v>
      </c>
      <c r="H110" s="35">
        <f>E86/C110</f>
        <v>2061803.9215686272</v>
      </c>
      <c r="I110" s="82" t="str">
        <f>IF(OR(ISBLANK(E86), ISBLANK(C110)), "",
    IF(C110=0, "",
        "Wu,Z = " &amp; ROUND(E86, 2) &amp; " / " &amp; ROUND(C110, 2) &amp; " / 10^6 = " &amp; ROUND((E86/C110)/10^6, 2) &amp; " * 10^6"
    )
)</f>
        <v>Wu,Z = 350506666.67 / 170 / 10^6 = 2.06 * 10^6</v>
      </c>
      <c r="J110" s="83"/>
    </row>
    <row r="111" spans="1:16" ht="16" thickBot="1"/>
    <row r="112" spans="1:16" ht="20" thickBot="1">
      <c r="A112" s="65" t="s">
        <v>35</v>
      </c>
      <c r="B112" s="66"/>
      <c r="C112" s="66"/>
      <c r="D112" s="66"/>
      <c r="E112" s="66"/>
      <c r="F112" s="66"/>
      <c r="G112" s="66"/>
      <c r="H112" s="66"/>
      <c r="I112" s="66"/>
      <c r="J112" s="67"/>
    </row>
    <row r="113" spans="1:10" ht="16" thickBot="1">
      <c r="B113" s="108" t="s">
        <v>38</v>
      </c>
      <c r="C113" s="49"/>
      <c r="D113" s="49"/>
      <c r="E113" s="49"/>
      <c r="F113" s="49"/>
      <c r="G113" s="49"/>
      <c r="H113" s="49"/>
      <c r="I113" s="49"/>
      <c r="J113" s="50"/>
    </row>
    <row r="114" spans="1:10" ht="17" thickBot="1">
      <c r="B114" s="19" t="s">
        <v>37</v>
      </c>
      <c r="C114" s="20">
        <v>80</v>
      </c>
      <c r="D114" s="5" t="s">
        <v>42</v>
      </c>
    </row>
    <row r="115" spans="1:10">
      <c r="B115" s="38" t="s">
        <v>29</v>
      </c>
      <c r="C115" s="44"/>
      <c r="D115" s="44"/>
      <c r="E115" s="44" t="s">
        <v>43</v>
      </c>
      <c r="F115" s="44"/>
      <c r="G115" s="44" t="s">
        <v>22</v>
      </c>
      <c r="H115" s="44"/>
      <c r="I115" s="44"/>
      <c r="J115" s="45"/>
    </row>
    <row r="116" spans="1:10" ht="16" thickBot="1">
      <c r="B116" s="39"/>
      <c r="C116" s="46"/>
      <c r="D116" s="46"/>
      <c r="E116" s="46"/>
      <c r="F116" s="46"/>
      <c r="G116" s="46"/>
      <c r="H116" s="46"/>
      <c r="I116" s="46"/>
      <c r="J116" s="47"/>
    </row>
    <row r="117" spans="1:10" ht="17" thickBot="1">
      <c r="B117" s="99" t="s">
        <v>72</v>
      </c>
      <c r="C117" s="100"/>
      <c r="D117" s="101"/>
      <c r="E117" s="95">
        <f>(C114*10^6*G104)/E98</f>
        <v>22.551639759365521</v>
      </c>
      <c r="F117" s="96"/>
      <c r="G117" s="105" t="str">
        <f>"σMu = (" &amp; C114 &amp; " * 10^6 * " &amp; G104 &amp; ") / " &amp; E98 &amp; " = " &amp; ROUND((C114 * 10^6 * G104) / E98, 2) &amp; " N/mm²"</f>
        <v>σMu = (80 * 10^6 * 196.5625) / 697288541.666667 = 22.55 N/mm²</v>
      </c>
      <c r="H117" s="106"/>
      <c r="I117" s="106"/>
      <c r="J117" s="107"/>
    </row>
    <row r="118" spans="1:10" ht="17" thickBot="1">
      <c r="A118" s="4"/>
      <c r="B118" s="102" t="s">
        <v>73</v>
      </c>
      <c r="C118" s="103"/>
      <c r="D118" s="104"/>
      <c r="E118" s="97">
        <f>(C114*10^6*C104)/E98</f>
        <v>21.045806897849857</v>
      </c>
      <c r="F118" s="98"/>
      <c r="G118" s="90" t="str">
        <f>"σMo = (" &amp; ROUND(C114, 2) &amp; " * 10^6 * " &amp; ROUND(C104, 2) &amp; ") / " &amp; ROUND(E98, 2) &amp; " = " &amp; ROUND((C114*10^6*C104)/E98, 2) &amp; " N/mm²"</f>
        <v>σMo = (80 * 10^6 * 183.44) / 697288541.67 = 21.05 N/mm²</v>
      </c>
      <c r="H118" s="91"/>
      <c r="I118" s="91" t="str">
        <f>IF(OR(ISBLANK(E111), ISBLANK(C118)), "",
    IF(C118=0, "",
        "Wu,Y = " &amp; ROUND(E111, 2) &amp; " / " &amp; ROUND(C118, 2) &amp; " / 10^6 = " &amp; ROUND((E111/C118)/10^6, 2) &amp; " * 10^6"
    )
)</f>
        <v/>
      </c>
      <c r="J118" s="92"/>
    </row>
    <row r="119" spans="1:10" ht="16" thickBot="1">
      <c r="A119" s="4"/>
      <c r="B119" s="48" t="s">
        <v>39</v>
      </c>
      <c r="C119" s="49"/>
      <c r="D119" s="49"/>
      <c r="E119" s="49"/>
      <c r="F119" s="49"/>
      <c r="G119" s="49"/>
      <c r="H119" s="49"/>
      <c r="I119" s="49"/>
      <c r="J119" s="50"/>
    </row>
    <row r="120" spans="1:10" ht="17" thickBot="1">
      <c r="A120" s="4"/>
      <c r="B120" s="19" t="s">
        <v>36</v>
      </c>
      <c r="C120" s="20">
        <v>23</v>
      </c>
      <c r="D120" s="5" t="s">
        <v>42</v>
      </c>
    </row>
    <row r="121" spans="1:10">
      <c r="A121" s="4"/>
      <c r="B121" s="38" t="s">
        <v>29</v>
      </c>
      <c r="C121" s="44"/>
      <c r="D121" s="44"/>
      <c r="E121" s="44" t="s">
        <v>43</v>
      </c>
      <c r="F121" s="44"/>
      <c r="G121" s="44" t="s">
        <v>22</v>
      </c>
      <c r="H121" s="44"/>
      <c r="I121" s="44"/>
      <c r="J121" s="45"/>
    </row>
    <row r="122" spans="1:10" ht="16" thickBot="1">
      <c r="A122" s="4"/>
      <c r="B122" s="39"/>
      <c r="C122" s="46"/>
      <c r="D122" s="46"/>
      <c r="E122" s="46"/>
      <c r="F122" s="46"/>
      <c r="G122" s="46"/>
      <c r="H122" s="46"/>
      <c r="I122" s="46"/>
      <c r="J122" s="47"/>
    </row>
    <row r="123" spans="1:10" ht="17" thickBot="1">
      <c r="A123" s="4"/>
      <c r="B123" s="111" t="s">
        <v>40</v>
      </c>
      <c r="C123" s="112"/>
      <c r="D123" s="113"/>
      <c r="E123" s="97">
        <f>(C120*10^6*G109)/E86</f>
        <v>11.155279975654292</v>
      </c>
      <c r="F123" s="98"/>
      <c r="G123" s="105" t="str">
        <f>"σMu = (" &amp; ROUND(C120, 2) &amp; " * 10^6 * " &amp; ROUND(G109, 2) &amp; ") / " &amp; ROUND(E86, 2) &amp; " = " &amp; ROUND((C120*10^6*G109)/E86, 2) &amp; " N/mm²"</f>
        <v>σMu = (23 * 10^6 * 170) / 350506666.67 = 11.16 N/mm²</v>
      </c>
      <c r="H123" s="106"/>
      <c r="I123" s="106" t="str">
        <f>IF(OR(ISBLANK(E99), ISBLANK(G123)), "",
    IF(G123=0, "",
        "Wo,Z = " &amp; ROUND(E99, 2) &amp; " / " &amp; ROUND(G123, 2) &amp; " / 10^6 = " &amp; ROUND((E99/G123)/10^6, 2) &amp; " * 10^6"
    )
)</f>
        <v/>
      </c>
      <c r="J123" s="107"/>
    </row>
    <row r="124" spans="1:10" ht="17" thickBot="1">
      <c r="A124" s="4"/>
      <c r="B124" s="114" t="s">
        <v>41</v>
      </c>
      <c r="C124" s="115"/>
      <c r="D124" s="116"/>
      <c r="E124" s="109">
        <f>(C120*10^6*C109)/E86</f>
        <v>11.155279975654292</v>
      </c>
      <c r="F124" s="110"/>
      <c r="G124" s="117" t="str">
        <f>"σMo = (" &amp; ROUND(C120, 2) &amp; " * 10^6 * " &amp; ROUND(C109, 2) &amp; ") / " &amp; ROUND(E86, 2) &amp; " = " &amp; ROUND((C120*10^6*C109)/E86, 2) &amp; " N/mm²"</f>
        <v>σMo = (23 * 10^6 * 170) / 350506666.67 = 11.16 N/mm²</v>
      </c>
      <c r="H124" s="118"/>
      <c r="I124" s="118" t="str">
        <f>IF(OR(ISBLANK(E99), ISBLANK(C124)), "",
    IF(C124=0, "",
        "Wu,Z = " &amp; ROUND(E99, 2) &amp; " / " &amp; ROUND(C124, 2) &amp; " / 10^6 = " &amp; ROUND((E99/C124)/10^6, 2) &amp; " * 10^6"
    )
)</f>
        <v/>
      </c>
      <c r="J124" s="119"/>
    </row>
    <row r="125" spans="1:10">
      <c r="A125" s="4"/>
    </row>
    <row r="126" spans="1:10">
      <c r="A126" s="4"/>
      <c r="B126" s="4"/>
      <c r="C126" s="4"/>
      <c r="D126" s="4"/>
      <c r="E126" s="4"/>
      <c r="F126" s="4"/>
      <c r="G126" s="4"/>
    </row>
    <row r="127" spans="1:10">
      <c r="A127" s="4"/>
      <c r="B127" s="4" t="s">
        <v>85</v>
      </c>
      <c r="C127" s="4">
        <v>275</v>
      </c>
      <c r="D127" s="4"/>
      <c r="E127" s="4"/>
      <c r="F127" s="4"/>
      <c r="G127" s="4"/>
    </row>
    <row r="128" spans="1:10">
      <c r="A128" s="4"/>
      <c r="B128" s="4" t="s">
        <v>49</v>
      </c>
      <c r="C128" s="4">
        <f>SQRT(E86/C57)</f>
        <v>104.65817375309648</v>
      </c>
      <c r="D128" s="4"/>
      <c r="E128" s="4"/>
      <c r="F128" s="4"/>
      <c r="G128" s="4"/>
    </row>
    <row r="129" spans="1:7">
      <c r="A129" s="4"/>
      <c r="B129" s="4" t="s">
        <v>50</v>
      </c>
      <c r="C129" s="4"/>
      <c r="D129" s="4"/>
      <c r="E129" s="4"/>
      <c r="F129" s="4"/>
      <c r="G129" s="4"/>
    </row>
    <row r="130" spans="1:7">
      <c r="A130" s="4"/>
      <c r="B130" s="4" t="s">
        <v>51</v>
      </c>
      <c r="C130" s="4">
        <v>10500</v>
      </c>
      <c r="D130" s="4" t="s">
        <v>52</v>
      </c>
      <c r="E130" s="4"/>
      <c r="F130" s="4"/>
      <c r="G130" s="4"/>
    </row>
    <row r="131" spans="1:7" ht="18">
      <c r="A131" s="4"/>
      <c r="B131" s="26" t="s">
        <v>53</v>
      </c>
      <c r="C131" s="4">
        <f>C130/C128</f>
        <v>100.32661208833048</v>
      </c>
      <c r="D131" s="4"/>
      <c r="E131" s="4"/>
      <c r="F131" s="4"/>
      <c r="G131" s="4"/>
    </row>
    <row r="132" spans="1:7" ht="18">
      <c r="A132" s="4"/>
      <c r="B132" s="121" t="s">
        <v>87</v>
      </c>
      <c r="C132" s="4"/>
      <c r="D132" s="4">
        <v>0.49</v>
      </c>
      <c r="E132" s="4"/>
      <c r="F132" s="4"/>
      <c r="G132" s="4"/>
    </row>
    <row r="133" spans="1:7">
      <c r="A133" s="4"/>
      <c r="B133" s="122" t="s">
        <v>84</v>
      </c>
      <c r="C133" s="4"/>
      <c r="D133" s="4">
        <f>0.5*(1+D132*(1.15^2-0.2)+1.15^2)</f>
        <v>1.4362624999999998</v>
      </c>
      <c r="E133" s="4"/>
      <c r="F133" s="4"/>
      <c r="G133" s="4"/>
    </row>
    <row r="134" spans="1:7" ht="18">
      <c r="A134" s="4"/>
      <c r="B134" s="121" t="s">
        <v>88</v>
      </c>
      <c r="C134" s="4"/>
      <c r="D134" s="4">
        <f>1/(D133+SQRT(D133^2-1.15^2))</f>
        <v>0.43540762347483769</v>
      </c>
      <c r="E134" s="4"/>
      <c r="F134" s="4"/>
      <c r="G134" s="4"/>
    </row>
    <row r="135" spans="1:7" ht="18">
      <c r="A135" s="4"/>
      <c r="B135" s="121" t="s">
        <v>89</v>
      </c>
      <c r="C135" s="4"/>
      <c r="D135" s="4">
        <f>(D134*C127*C57)/(1.05*1000)</f>
        <v>3649.1305586462586</v>
      </c>
      <c r="E135" s="4" t="s">
        <v>86</v>
      </c>
      <c r="F135" s="4"/>
      <c r="G135" s="4"/>
    </row>
    <row r="136" spans="1:7">
      <c r="A136" s="4"/>
      <c r="B136" s="4"/>
      <c r="C136" s="4"/>
      <c r="D136" s="4"/>
      <c r="E136" s="4"/>
      <c r="F136" s="4"/>
      <c r="G136" s="4"/>
    </row>
    <row r="137" spans="1:7">
      <c r="A137" s="4"/>
      <c r="B137" s="4"/>
      <c r="C137" s="4"/>
      <c r="D137" s="4"/>
      <c r="E137" s="4"/>
      <c r="F137" s="4"/>
      <c r="G137" s="4"/>
    </row>
    <row r="138" spans="1:7">
      <c r="A138" s="4"/>
      <c r="B138" s="4"/>
      <c r="C138" s="4"/>
      <c r="D138" s="4"/>
      <c r="E138" s="4"/>
      <c r="F138" s="4"/>
      <c r="G138" s="4"/>
    </row>
    <row r="139" spans="1:7">
      <c r="A139" s="4"/>
      <c r="B139" s="4"/>
      <c r="C139" s="4"/>
      <c r="D139" s="4"/>
      <c r="E139" s="4"/>
      <c r="F139" s="4"/>
      <c r="G139" s="4"/>
    </row>
  </sheetData>
  <sheetProtection algorithmName="SHA-512" hashValue="BOYxXPUfGt/EtIIoSwNx4L2vOIHm+PL1fBdNl7fOnkPsj132jPBNBgpNeWbymRD8E/qNW5zaPTYoiPjewgG6Qg==" saltValue="GR1tMQw+2fZA1uKo04WZfw==" spinCount="100000" sheet="1" objects="1" scenarios="1" selectLockedCells="1"/>
  <mergeCells count="167">
    <mergeCell ref="E123:F123"/>
    <mergeCell ref="E124:F124"/>
    <mergeCell ref="B123:D123"/>
    <mergeCell ref="B124:D124"/>
    <mergeCell ref="G123:J123"/>
    <mergeCell ref="G124:J124"/>
    <mergeCell ref="B119:J119"/>
    <mergeCell ref="E121:F122"/>
    <mergeCell ref="B121:D122"/>
    <mergeCell ref="G121:J122"/>
    <mergeCell ref="E117:F117"/>
    <mergeCell ref="E118:F118"/>
    <mergeCell ref="B117:D117"/>
    <mergeCell ref="B118:D118"/>
    <mergeCell ref="G117:J117"/>
    <mergeCell ref="G118:J118"/>
    <mergeCell ref="B113:J113"/>
    <mergeCell ref="E115:F116"/>
    <mergeCell ref="B115:D116"/>
    <mergeCell ref="G115:J116"/>
    <mergeCell ref="B45:J45"/>
    <mergeCell ref="A112:J112"/>
    <mergeCell ref="C69:D69"/>
    <mergeCell ref="E69:J69"/>
    <mergeCell ref="C70:D70"/>
    <mergeCell ref="C71:D71"/>
    <mergeCell ref="E71:J71"/>
    <mergeCell ref="C66:D66"/>
    <mergeCell ref="E66:J66"/>
    <mergeCell ref="C67:D67"/>
    <mergeCell ref="E67:J67"/>
    <mergeCell ref="C68:D68"/>
    <mergeCell ref="E68:J68"/>
    <mergeCell ref="C63:D63"/>
    <mergeCell ref="E63:J63"/>
    <mergeCell ref="C64:D64"/>
    <mergeCell ref="E64:J64"/>
    <mergeCell ref="C65:D65"/>
    <mergeCell ref="E65:J65"/>
    <mergeCell ref="B60:B61"/>
    <mergeCell ref="C60:D61"/>
    <mergeCell ref="C51:D51"/>
    <mergeCell ref="C52:D52"/>
    <mergeCell ref="C83:D83"/>
    <mergeCell ref="C85:D85"/>
    <mergeCell ref="E60:J61"/>
    <mergeCell ref="C62:D62"/>
    <mergeCell ref="E62:J62"/>
    <mergeCell ref="E57:J57"/>
    <mergeCell ref="E58:J58"/>
    <mergeCell ref="C58:D58"/>
    <mergeCell ref="C57:D57"/>
    <mergeCell ref="C78:D78"/>
    <mergeCell ref="C79:D79"/>
    <mergeCell ref="C80:D80"/>
    <mergeCell ref="C81:D81"/>
    <mergeCell ref="C82:D82"/>
    <mergeCell ref="C53:D53"/>
    <mergeCell ref="C54:D54"/>
    <mergeCell ref="C55:D55"/>
    <mergeCell ref="C72:D72"/>
    <mergeCell ref="E72:J72"/>
    <mergeCell ref="B59:J59"/>
    <mergeCell ref="E54:J54"/>
    <mergeCell ref="E55:J55"/>
    <mergeCell ref="C84:D84"/>
    <mergeCell ref="C90:D90"/>
    <mergeCell ref="C91:D91"/>
    <mergeCell ref="C92:D92"/>
    <mergeCell ref="C93:D93"/>
    <mergeCell ref="C94:D94"/>
    <mergeCell ref="C95:D95"/>
    <mergeCell ref="E95:F95"/>
    <mergeCell ref="G90:J90"/>
    <mergeCell ref="G91:J91"/>
    <mergeCell ref="G92:J92"/>
    <mergeCell ref="G93:J93"/>
    <mergeCell ref="G94:J94"/>
    <mergeCell ref="G95:J95"/>
    <mergeCell ref="E90:F90"/>
    <mergeCell ref="E91:F91"/>
    <mergeCell ref="E92:F92"/>
    <mergeCell ref="E93:F93"/>
    <mergeCell ref="E94:F94"/>
    <mergeCell ref="I109:J109"/>
    <mergeCell ref="I110:J110"/>
    <mergeCell ref="I104:J104"/>
    <mergeCell ref="I105:J105"/>
    <mergeCell ref="I107:J108"/>
    <mergeCell ref="I102:J103"/>
    <mergeCell ref="C109:D109"/>
    <mergeCell ref="C110:D110"/>
    <mergeCell ref="C104:D104"/>
    <mergeCell ref="C105:D105"/>
    <mergeCell ref="E109:F109"/>
    <mergeCell ref="E110:F110"/>
    <mergeCell ref="E104:F104"/>
    <mergeCell ref="E105:F105"/>
    <mergeCell ref="C102:D103"/>
    <mergeCell ref="E102:F103"/>
    <mergeCell ref="G102:G103"/>
    <mergeCell ref="H102:H103"/>
    <mergeCell ref="B107:B108"/>
    <mergeCell ref="C107:D108"/>
    <mergeCell ref="E107:F108"/>
    <mergeCell ref="G107:G108"/>
    <mergeCell ref="H107:H108"/>
    <mergeCell ref="A100:J100"/>
    <mergeCell ref="B106:J106"/>
    <mergeCell ref="B101:J101"/>
    <mergeCell ref="G96:J96"/>
    <mergeCell ref="G97:J97"/>
    <mergeCell ref="C96:D96"/>
    <mergeCell ref="C97:D97"/>
    <mergeCell ref="E96:F96"/>
    <mergeCell ref="E97:F97"/>
    <mergeCell ref="G98:J98"/>
    <mergeCell ref="E98:F98"/>
    <mergeCell ref="B102:B103"/>
    <mergeCell ref="D33:D34"/>
    <mergeCell ref="E76:F77"/>
    <mergeCell ref="E78:F78"/>
    <mergeCell ref="E79:F79"/>
    <mergeCell ref="E80:F80"/>
    <mergeCell ref="E81:F81"/>
    <mergeCell ref="G76:J77"/>
    <mergeCell ref="B33:B34"/>
    <mergeCell ref="C76:D77"/>
    <mergeCell ref="B76:B77"/>
    <mergeCell ref="C33:C34"/>
    <mergeCell ref="B46:B47"/>
    <mergeCell ref="C46:D47"/>
    <mergeCell ref="E46:J47"/>
    <mergeCell ref="C48:D48"/>
    <mergeCell ref="E48:J48"/>
    <mergeCell ref="C49:D49"/>
    <mergeCell ref="C50:D50"/>
    <mergeCell ref="E49:J49"/>
    <mergeCell ref="E50:J50"/>
    <mergeCell ref="E51:J51"/>
    <mergeCell ref="E52:J52"/>
    <mergeCell ref="E53:J53"/>
    <mergeCell ref="C56:D56"/>
    <mergeCell ref="G33:G34"/>
    <mergeCell ref="B88:B89"/>
    <mergeCell ref="C88:D89"/>
    <mergeCell ref="E88:F89"/>
    <mergeCell ref="G88:J89"/>
    <mergeCell ref="B87:J87"/>
    <mergeCell ref="E82:F82"/>
    <mergeCell ref="G82:J82"/>
    <mergeCell ref="E83:F83"/>
    <mergeCell ref="E84:F84"/>
    <mergeCell ref="E86:F86"/>
    <mergeCell ref="E85:F85"/>
    <mergeCell ref="G83:J83"/>
    <mergeCell ref="G84:J84"/>
    <mergeCell ref="G85:J85"/>
    <mergeCell ref="G86:J86"/>
    <mergeCell ref="F33:F34"/>
    <mergeCell ref="G78:J78"/>
    <mergeCell ref="G79:J79"/>
    <mergeCell ref="G80:J80"/>
    <mergeCell ref="G81:J81"/>
    <mergeCell ref="B75:J75"/>
    <mergeCell ref="A74:J74"/>
    <mergeCell ref="E33:E34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Berechnungen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2024-09-10T20:10:43Z</dcterms:modified>
</cp:coreProperties>
</file>