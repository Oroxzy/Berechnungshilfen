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811" codeName="{873B2839-AC87-7CC4-5C0F-16DCB9831742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/Users/jeremymeile/Desktop/"/>
    </mc:Choice>
  </mc:AlternateContent>
  <xr:revisionPtr revIDLastSave="0" documentId="13_ncr:1_{3AE17C61-E6F3-5C47-B9E6-B941BA87E698}" xr6:coauthVersionLast="47" xr6:coauthVersionMax="47" xr10:uidLastSave="{00000000-0000-0000-0000-000000000000}"/>
  <bookViews>
    <workbookView xWindow="0" yWindow="900" windowWidth="37800" windowHeight="23060" xr2:uid="{00000000-000D-0000-FFFF-FFFF00000000}"/>
  </bookViews>
  <sheets>
    <sheet name="Berechnungen" sheetId="1" r:id="rId1"/>
    <sheet name="DiagrammDimensionen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1" i="2" l="1" a="1"/>
  <c r="B11" i="2" s="1"/>
  <c r="E112" i="1" a="1"/>
  <c r="E112" i="1" s="1"/>
  <c r="E111" i="1" a="1"/>
  <c r="E111" i="1" s="1"/>
  <c r="E107" i="1"/>
  <c r="E106" i="1" l="1"/>
  <c r="A3" i="2"/>
  <c r="A4" i="2"/>
  <c r="A5" i="2"/>
  <c r="A6" i="2"/>
  <c r="A7" i="2"/>
  <c r="A8" i="2"/>
  <c r="A9" i="2"/>
  <c r="A2" i="2"/>
  <c r="F36" i="1"/>
  <c r="F37" i="1"/>
  <c r="F38" i="1"/>
  <c r="F39" i="1"/>
  <c r="F40" i="1"/>
  <c r="F41" i="1"/>
  <c r="F42" i="1"/>
  <c r="F35" i="1"/>
  <c r="O99" i="1"/>
  <c r="N99" i="1"/>
  <c r="M99" i="1"/>
  <c r="L99" i="1"/>
  <c r="K99" i="1"/>
  <c r="O87" i="1"/>
  <c r="N87" i="1"/>
  <c r="M87" i="1"/>
  <c r="L87" i="1"/>
  <c r="K87" i="1"/>
  <c r="O98" i="1"/>
  <c r="N98" i="1"/>
  <c r="M98" i="1"/>
  <c r="L98" i="1"/>
  <c r="K98" i="1"/>
  <c r="O86" i="1"/>
  <c r="N86" i="1"/>
  <c r="M86" i="1"/>
  <c r="L86" i="1"/>
  <c r="K86" i="1"/>
  <c r="O97" i="1"/>
  <c r="N97" i="1"/>
  <c r="M97" i="1"/>
  <c r="L97" i="1"/>
  <c r="K97" i="1"/>
  <c r="O85" i="1"/>
  <c r="N85" i="1"/>
  <c r="M85" i="1"/>
  <c r="L85" i="1"/>
  <c r="K85" i="1"/>
  <c r="A11" i="2" l="1"/>
  <c r="E70" i="1"/>
  <c r="C70" i="1"/>
  <c r="E69" i="1"/>
  <c r="C69" i="1"/>
  <c r="C65" i="1"/>
  <c r="E65" i="1"/>
  <c r="E64" i="1"/>
  <c r="C64" i="1"/>
  <c r="C68" i="1"/>
  <c r="E68" i="1"/>
  <c r="E67" i="1"/>
  <c r="C67" i="1"/>
  <c r="E66" i="1"/>
  <c r="C66" i="1"/>
  <c r="E74" i="1"/>
  <c r="E73" i="1"/>
  <c r="E63" i="1"/>
  <c r="C73" i="1"/>
  <c r="C63" i="1"/>
  <c r="E50" i="1"/>
  <c r="C50" i="1"/>
  <c r="C53" i="1"/>
  <c r="E53" i="1"/>
  <c r="E49" i="1"/>
  <c r="C49" i="1"/>
  <c r="C54" i="1"/>
  <c r="E54" i="1"/>
  <c r="C52" i="1"/>
  <c r="E52" i="1"/>
  <c r="E59" i="1"/>
  <c r="E58" i="1"/>
  <c r="E48" i="1"/>
  <c r="C48" i="1"/>
  <c r="E51" i="1"/>
  <c r="C51" i="1"/>
  <c r="C55" i="1"/>
  <c r="E55" i="1"/>
  <c r="C58" i="1"/>
  <c r="K81" i="1"/>
  <c r="L81" i="1"/>
  <c r="M81" i="1"/>
  <c r="N81" i="1"/>
  <c r="O81" i="1"/>
  <c r="K93" i="1"/>
  <c r="L93" i="1"/>
  <c r="M93" i="1"/>
  <c r="N93" i="1"/>
  <c r="O93" i="1"/>
  <c r="K82" i="1"/>
  <c r="L82" i="1"/>
  <c r="M82" i="1"/>
  <c r="N82" i="1"/>
  <c r="O82" i="1"/>
  <c r="K94" i="1"/>
  <c r="L94" i="1"/>
  <c r="M94" i="1"/>
  <c r="N94" i="1"/>
  <c r="O94" i="1"/>
  <c r="K83" i="1"/>
  <c r="L83" i="1"/>
  <c r="M83" i="1"/>
  <c r="N83" i="1"/>
  <c r="O83" i="1"/>
  <c r="K95" i="1"/>
  <c r="L95" i="1"/>
  <c r="M95" i="1"/>
  <c r="N95" i="1"/>
  <c r="O95" i="1"/>
  <c r="K84" i="1"/>
  <c r="L84" i="1"/>
  <c r="M84" i="1"/>
  <c r="N84" i="1"/>
  <c r="O84" i="1"/>
  <c r="K96" i="1"/>
  <c r="L96" i="1"/>
  <c r="M96" i="1"/>
  <c r="N96" i="1"/>
  <c r="O96" i="1"/>
  <c r="O92" i="1"/>
  <c r="N92" i="1"/>
  <c r="M92" i="1"/>
  <c r="L92" i="1"/>
  <c r="K92" i="1"/>
  <c r="O80" i="1"/>
  <c r="N80" i="1"/>
  <c r="M80" i="1"/>
  <c r="L80" i="1"/>
  <c r="K80" i="1"/>
  <c r="C57" i="1" l="1"/>
  <c r="C59" i="1" s="1"/>
  <c r="C11" i="2"/>
  <c r="F140" i="1" l="1"/>
  <c r="E140" i="1"/>
  <c r="C80" i="1"/>
  <c r="G80" i="1" s="1"/>
  <c r="C112" i="1"/>
  <c r="G112" i="1" s="1"/>
  <c r="C83" i="1"/>
  <c r="E83" i="1" s="1"/>
  <c r="C82" i="1"/>
  <c r="G82" i="1" s="1"/>
  <c r="C85" i="1"/>
  <c r="E85" i="1" s="1"/>
  <c r="C84" i="1"/>
  <c r="E84" i="1" s="1"/>
  <c r="C111" i="1"/>
  <c r="C81" i="1"/>
  <c r="E81" i="1" s="1"/>
  <c r="C87" i="1"/>
  <c r="C86" i="1"/>
  <c r="E86" i="1" s="1"/>
  <c r="C72" i="1"/>
  <c r="D140" i="1"/>
  <c r="D141" i="1"/>
  <c r="G85" i="1" l="1"/>
  <c r="G86" i="1"/>
  <c r="G111" i="1"/>
  <c r="C74" i="1"/>
  <c r="C106" i="1" s="1"/>
  <c r="E87" i="1"/>
  <c r="E80" i="1"/>
  <c r="G87" i="1"/>
  <c r="G83" i="1"/>
  <c r="E82" i="1"/>
  <c r="G81" i="1"/>
  <c r="G84" i="1"/>
  <c r="C99" i="1" l="1"/>
  <c r="C93" i="1"/>
  <c r="E93" i="1" s="1"/>
  <c r="C107" i="1"/>
  <c r="G107" i="1" s="1"/>
  <c r="E88" i="1"/>
  <c r="G88" i="1" s="1"/>
  <c r="C98" i="1"/>
  <c r="G98" i="1" s="1"/>
  <c r="G106" i="1"/>
  <c r="C96" i="1"/>
  <c r="E96" i="1" s="1"/>
  <c r="C95" i="1"/>
  <c r="E95" i="1" s="1"/>
  <c r="C97" i="1"/>
  <c r="E97" i="1" s="1"/>
  <c r="C92" i="1"/>
  <c r="G92" i="1" s="1"/>
  <c r="C94" i="1"/>
  <c r="G94" i="1" s="1"/>
  <c r="I126" i="1"/>
  <c r="I120" i="1"/>
  <c r="F141" i="1"/>
  <c r="E141" i="1"/>
  <c r="G93" i="1"/>
  <c r="E99" i="1"/>
  <c r="G99" i="1"/>
  <c r="G126" i="1" l="1"/>
  <c r="E125" i="1"/>
  <c r="G125" i="1"/>
  <c r="I125" i="1" s="1"/>
  <c r="E98" i="1"/>
  <c r="I112" i="1"/>
  <c r="H111" i="1"/>
  <c r="H112" i="1"/>
  <c r="I111" i="1"/>
  <c r="E126" i="1"/>
  <c r="G97" i="1"/>
  <c r="E92" i="1"/>
  <c r="E94" i="1"/>
  <c r="G96" i="1"/>
  <c r="G95" i="1"/>
  <c r="E100" i="1" l="1"/>
  <c r="G120" i="1" s="1"/>
  <c r="E119" i="1"/>
  <c r="I107" i="1" l="1"/>
  <c r="H106" i="1"/>
  <c r="I106" i="1"/>
  <c r="G119" i="1"/>
  <c r="E120" i="1"/>
  <c r="G100" i="1"/>
  <c r="H10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<sst xmlns="http://schemas.openxmlformats.org/spreadsheetml/2006/main" count="134" uniqueCount="79">
  <si>
    <t>Figur</t>
  </si>
  <si>
    <t>start y</t>
  </si>
  <si>
    <t>start z</t>
  </si>
  <si>
    <t>Figur1</t>
  </si>
  <si>
    <t>Figur2</t>
  </si>
  <si>
    <t>Figur3</t>
  </si>
  <si>
    <t>Figur4</t>
  </si>
  <si>
    <t>Figur5</t>
  </si>
  <si>
    <t>y1</t>
  </si>
  <si>
    <t>y2</t>
  </si>
  <si>
    <t>y3</t>
  </si>
  <si>
    <t>y4</t>
  </si>
  <si>
    <t>y5</t>
  </si>
  <si>
    <t>z1</t>
  </si>
  <si>
    <t>z2</t>
  </si>
  <si>
    <t>z3</t>
  </si>
  <si>
    <t>z4</t>
  </si>
  <si>
    <t>z5</t>
  </si>
  <si>
    <t>achse y</t>
  </si>
  <si>
    <t>achse z</t>
  </si>
  <si>
    <t>Iy</t>
  </si>
  <si>
    <t>Iz</t>
  </si>
  <si>
    <t>ende y</t>
  </si>
  <si>
    <t>ende z</t>
  </si>
  <si>
    <t>Achse Y</t>
  </si>
  <si>
    <t>Achse Z</t>
  </si>
  <si>
    <t>Figur6</t>
  </si>
  <si>
    <t>Figur7</t>
  </si>
  <si>
    <t>Figur8</t>
  </si>
  <si>
    <t>meile.jeremy@stud.bauschule.ch</t>
  </si>
  <si>
    <t>Trägheitsmomente</t>
  </si>
  <si>
    <t>Höhe</t>
  </si>
  <si>
    <t>Lösungsweg</t>
  </si>
  <si>
    <t>Flächenschwerpunkt</t>
  </si>
  <si>
    <t>y</t>
  </si>
  <si>
    <t>Iz zu berechnen. Schreibe die Lösungswege und Ergebnisse aus den gelben Feldern ab.</t>
  </si>
  <si>
    <t xml:space="preserve">Erstelle mit den roten Feldern unten bis zu 8 Figuren. </t>
  </si>
  <si>
    <t>Du kannst in der Grafik visuell überprüfen, ob sie richtig aufgebaut sind wie in der Aufgabenstellung.</t>
  </si>
  <si>
    <t>Der Flächenschwerpunkt wird automatisch berechnet, und die Achsen werden gesetzt, um die Trägheitsmomente Iy und </t>
  </si>
  <si>
    <t>Die maximale Höhe und Breite des Diagramms wird automatisch an die Dimensionen deiner Figuren angepasst.</t>
  </si>
  <si>
    <t>Fläche</t>
  </si>
  <si>
    <t>Distanz von Figurenmitte zu Achse Y</t>
  </si>
  <si>
    <t>Anfang der Figur von links</t>
  </si>
  <si>
    <t>Länge</t>
  </si>
  <si>
    <t>Anfang der Figur von unten</t>
  </si>
  <si>
    <t>Trägheitsmoment Berechnung für Iy</t>
  </si>
  <si>
    <t>Trägheitsmoment Berechnung für Iz</t>
  </si>
  <si>
    <t>Distanz von Figurenmitte zu Achse Z</t>
  </si>
  <si>
    <t>Widerstandmomente</t>
  </si>
  <si>
    <t>Distanz Achse Y von links</t>
  </si>
  <si>
    <t>Maximale Breite</t>
  </si>
  <si>
    <t>W</t>
  </si>
  <si>
    <t>Position</t>
  </si>
  <si>
    <t>Widerstandsmoment Y</t>
  </si>
  <si>
    <t>Widerstandsmoment Z</t>
  </si>
  <si>
    <t>Maximale Höhe</t>
  </si>
  <si>
    <t>Distanz Achse Z von unten</t>
  </si>
  <si>
    <t>Summe</t>
  </si>
  <si>
    <t>Flächenschwerpunkt Berechnung für Achse Z</t>
  </si>
  <si>
    <t>Flächenschwerpunkt Berechnung für Achse Y</t>
  </si>
  <si>
    <t>Flächen</t>
  </si>
  <si>
    <t>Dividend</t>
  </si>
  <si>
    <t>Biegerandspannung</t>
  </si>
  <si>
    <t>Mz,d</t>
  </si>
  <si>
    <t>My,d</t>
  </si>
  <si>
    <t xml:space="preserve">Biegerandspannung Y σb
​	
 </t>
  </si>
  <si>
    <t>Biegerandspannung Z σb</t>
  </si>
  <si>
    <t>σMo (Oben)</t>
  </si>
  <si>
    <t>σMu (Unten)</t>
  </si>
  <si>
    <t>σMo (Rechts, Oben)</t>
  </si>
  <si>
    <t>σMu (Links, Unten)</t>
  </si>
  <si>
    <t>kNm</t>
  </si>
  <si>
    <t>Biegerandspannung (N/mm²)</t>
  </si>
  <si>
    <t>Wz,links​</t>
  </si>
  <si>
    <t>Wz,rechts​</t>
  </si>
  <si>
    <t>Wy,oben​</t>
  </si>
  <si>
    <t>Wy,unten​</t>
  </si>
  <si>
    <t>Ymax,rechts</t>
  </si>
  <si>
    <t>Zmax,rechts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</si>
</sst>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;[Red]#,##0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ptos"/>
    </font>
    <font>
      <b/>
      <sz val="14"/>
      <color theme="0"/>
      <name val="Aptos"/>
    </font>
    <font>
      <b/>
      <sz val="11"/>
      <color theme="1"/>
      <name val="Aptos"/>
    </font>
    <font>
      <sz val="11"/>
      <color theme="0"/>
      <name val="Aptos"/>
    </font>
    <font>
      <sz val="12"/>
      <color rgb="FF3F3F76"/>
      <name val="Aptos"/>
    </font>
    <font>
      <b/>
      <sz val="14"/>
      <color rgb="FF000000"/>
      <name val="Aptos"/>
    </font>
    <font>
      <b/>
      <sz val="14"/>
      <color theme="1"/>
      <name val="Helvetica"/>
      <family val="2"/>
    </font>
    <font>
      <b/>
      <sz val="12"/>
      <color rgb="FF3F3F3F"/>
      <name val="Calibri"/>
      <family val="2"/>
      <scheme val="minor"/>
    </font>
    <font>
      <i/>
      <sz val="10"/>
      <color theme="1"/>
      <name val="Aptos"/>
    </font>
    <font>
      <sz val="10"/>
      <color theme="1"/>
      <name val="Aptos"/>
    </font>
    <font>
      <sz val="11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</fills>
  <borders count="5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rgb="FFB2B2B2"/>
      </left>
      <right style="medium">
        <color indexed="64"/>
      </right>
      <top/>
      <bottom style="thin">
        <color rgb="FFB2B2B2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medium">
        <color indexed="64"/>
      </top>
      <bottom/>
      <diagonal/>
    </border>
    <border>
      <left style="thin">
        <color rgb="FF3F3F3F"/>
      </left>
      <right style="thin">
        <color rgb="FF3F3F3F"/>
      </right>
      <top/>
      <bottom style="thin">
        <color rgb="FF3F3F3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3F3F3F"/>
      </left>
      <right style="medium">
        <color indexed="64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medium">
        <color indexed="64"/>
      </right>
      <top style="thin">
        <color rgb="FF3F3F3F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medium">
        <color indexed="64"/>
      </bottom>
      <diagonal/>
    </border>
    <border>
      <left/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medium">
        <color indexed="64"/>
      </bottom>
      <diagonal/>
    </border>
    <border>
      <left style="thin">
        <color rgb="FF3F3F3F"/>
      </left>
      <right style="medium">
        <color indexed="64"/>
      </right>
      <top/>
      <bottom style="thin">
        <color rgb="FF3F3F3F"/>
      </bottom>
      <diagonal/>
    </border>
    <border>
      <left style="thin">
        <color rgb="FF3F3F3F"/>
      </left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rgb="FFB2B2B2"/>
      </left>
      <right style="medium">
        <color indexed="64"/>
      </right>
      <top style="thin">
        <color rgb="FFB2B2B2"/>
      </top>
      <bottom/>
      <diagonal/>
    </border>
    <border>
      <left style="thin">
        <color rgb="FF7F7F7F"/>
      </left>
      <right/>
      <top style="medium">
        <color indexed="64"/>
      </top>
      <bottom style="medium">
        <color indexed="64"/>
      </bottom>
      <diagonal/>
    </border>
    <border>
      <left style="thin">
        <color rgb="FF3F3F3F"/>
      </left>
      <right style="thin">
        <color rgb="FF3F3F3F"/>
      </right>
      <top/>
      <bottom/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3F3F3F"/>
      </left>
      <right/>
      <top style="medium">
        <color indexed="64"/>
      </top>
      <bottom style="thin">
        <color rgb="FFB2B2B2"/>
      </bottom>
      <diagonal/>
    </border>
    <border>
      <left/>
      <right/>
      <top style="medium">
        <color indexed="64"/>
      </top>
      <bottom style="thin">
        <color rgb="FFB2B2B2"/>
      </bottom>
      <diagonal/>
    </border>
    <border>
      <left style="thin">
        <color rgb="FF3F3F3F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 style="thin">
        <color rgb="FF3F3F3F"/>
      </left>
      <right/>
      <top style="thin">
        <color rgb="FFB2B2B2"/>
      </top>
      <bottom/>
      <diagonal/>
    </border>
    <border>
      <left/>
      <right/>
      <top style="thin">
        <color rgb="FFB2B2B2"/>
      </top>
      <bottom/>
      <diagonal/>
    </border>
    <border>
      <left style="thin">
        <color rgb="FF3F3F3F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B2B2B2"/>
      </bottom>
      <diagonal/>
    </border>
    <border>
      <left/>
      <right style="medium">
        <color indexed="64"/>
      </right>
      <top style="thin">
        <color rgb="FFB2B2B2"/>
      </top>
      <bottom style="thin">
        <color rgb="FFB2B2B2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rgb="FFB2B2B2"/>
      </top>
      <bottom/>
      <diagonal/>
    </border>
    <border>
      <left/>
      <right style="thin">
        <color rgb="FF3F3F3F"/>
      </right>
      <top style="medium">
        <color indexed="64"/>
      </top>
      <bottom style="medium">
        <color indexed="64"/>
      </bottom>
      <diagonal/>
    </border>
    <border>
      <left/>
      <right style="thin">
        <color rgb="FF3F3F3F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/>
      <right style="thin">
        <color rgb="FF3F3F3F"/>
      </right>
      <top style="medium">
        <color indexed="64"/>
      </top>
      <bottom/>
      <diagonal/>
    </border>
    <border>
      <left style="thin">
        <color rgb="FF3F3F3F"/>
      </left>
      <right/>
      <top style="medium">
        <color indexed="64"/>
      </top>
      <bottom style="thin">
        <color rgb="FF3F3F3F"/>
      </bottom>
      <diagonal/>
    </border>
    <border>
      <left/>
      <right style="thin">
        <color rgb="FF3F3F3F"/>
      </right>
      <top style="medium">
        <color indexed="64"/>
      </top>
      <bottom style="thin">
        <color rgb="FF3F3F3F"/>
      </bottom>
      <diagonal/>
    </border>
    <border>
      <left/>
      <right style="thin">
        <color rgb="FF3F3F3F"/>
      </right>
      <top/>
      <bottom/>
      <diagonal/>
    </border>
    <border>
      <left style="thin">
        <color rgb="FF3F3F3F"/>
      </left>
      <right/>
      <top/>
      <bottom style="thin">
        <color rgb="FF3F3F3F"/>
      </bottom>
      <diagonal/>
    </border>
    <border>
      <left/>
      <right style="thin">
        <color rgb="FF3F3F3F"/>
      </right>
      <top/>
      <bottom style="thin">
        <color rgb="FF3F3F3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3F3F3F"/>
      </left>
      <right/>
      <top style="thin">
        <color rgb="FFB2B2B2"/>
      </top>
      <bottom style="medium">
        <color indexed="64"/>
      </bottom>
      <diagonal/>
    </border>
  </borders>
  <cellStyleXfs count="5">
    <xf numFmtId="0" fontId="0" fillId="0" borderId="0"/>
    <xf numFmtId="0" fontId="2" fillId="2" borderId="1" applyNumberFormat="0" applyAlignment="0" applyProtection="0"/>
    <xf numFmtId="0" fontId="3" fillId="3" borderId="1" applyNumberFormat="0" applyAlignment="0" applyProtection="0"/>
    <xf numFmtId="0" fontId="1" fillId="4" borderId="2" applyNumberFormat="0" applyFont="0" applyAlignment="0" applyProtection="0"/>
    <xf numFmtId="0" fontId="12" fillId="3" borderId="15" applyNumberFormat="0" applyAlignment="0" applyProtection="0"/>
  </cellStyleXfs>
  <cellXfs count="137">
    <xf numFmtId="0" fontId="0" fillId="0" borderId="0" xfId="0"/>
    <xf numFmtId="0" fontId="5" fillId="0" borderId="0" xfId="0" applyFont="1" applyProtection="1">
      <protection hidden="1"/>
    </xf>
    <xf numFmtId="164" fontId="9" fillId="2" borderId="3" xfId="1" applyNumberFormat="1" applyFont="1" applyBorder="1" applyProtection="1">
      <protection locked="0"/>
    </xf>
    <xf numFmtId="164" fontId="9" fillId="2" borderId="1" xfId="1" applyNumberFormat="1" applyFont="1" applyProtection="1">
      <protection locked="0"/>
    </xf>
    <xf numFmtId="164" fontId="9" fillId="2" borderId="12" xfId="1" applyNumberFormat="1" applyFont="1" applyBorder="1" applyProtection="1">
      <protection locked="0"/>
    </xf>
    <xf numFmtId="0" fontId="6" fillId="6" borderId="5" xfId="0" applyFont="1" applyFill="1" applyBorder="1"/>
    <xf numFmtId="0" fontId="6" fillId="6" borderId="6" xfId="0" applyFont="1" applyFill="1" applyBorder="1"/>
    <xf numFmtId="0" fontId="6" fillId="6" borderId="7" xfId="0" applyFont="1" applyFill="1" applyBorder="1"/>
    <xf numFmtId="0" fontId="8" fillId="0" borderId="0" xfId="0" applyFont="1"/>
    <xf numFmtId="0" fontId="5" fillId="0" borderId="0" xfId="0" applyFont="1"/>
    <xf numFmtId="0" fontId="11" fillId="0" borderId="0" xfId="0" applyFont="1"/>
    <xf numFmtId="0" fontId="10" fillId="0" borderId="0" xfId="0" applyFont="1" applyAlignment="1">
      <alignment vertical="top" wrapText="1"/>
    </xf>
    <xf numFmtId="3" fontId="5" fillId="0" borderId="0" xfId="0" applyNumberFormat="1" applyFont="1"/>
    <xf numFmtId="3" fontId="8" fillId="0" borderId="0" xfId="0" applyNumberFormat="1" applyFont="1"/>
    <xf numFmtId="0" fontId="7" fillId="0" borderId="8" xfId="0" applyFont="1" applyBorder="1"/>
    <xf numFmtId="4" fontId="12" fillId="3" borderId="28" xfId="4" applyNumberFormat="1" applyBorder="1" applyProtection="1"/>
    <xf numFmtId="4" fontId="12" fillId="3" borderId="21" xfId="4" applyNumberFormat="1" applyBorder="1" applyProtection="1"/>
    <xf numFmtId="0" fontId="7" fillId="0" borderId="10" xfId="0" applyFont="1" applyBorder="1"/>
    <xf numFmtId="4" fontId="12" fillId="3" borderId="22" xfId="4" applyNumberFormat="1" applyBorder="1" applyProtection="1"/>
    <xf numFmtId="0" fontId="8" fillId="0" borderId="0" xfId="0" applyFont="1" applyAlignment="1">
      <alignment horizontal="right"/>
    </xf>
    <xf numFmtId="0" fontId="13" fillId="0" borderId="16" xfId="0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4" fontId="5" fillId="4" borderId="4" xfId="3" applyNumberFormat="1" applyFont="1" applyBorder="1" applyAlignment="1" applyProtection="1">
      <alignment horizontal="left"/>
    </xf>
    <xf numFmtId="4" fontId="5" fillId="4" borderId="9" xfId="3" applyNumberFormat="1" applyFont="1" applyBorder="1" applyAlignment="1" applyProtection="1">
      <alignment horizontal="left"/>
    </xf>
    <xf numFmtId="4" fontId="5" fillId="4" borderId="2" xfId="3" applyNumberFormat="1" applyFont="1" applyAlignment="1" applyProtection="1">
      <alignment horizontal="left"/>
    </xf>
    <xf numFmtId="4" fontId="5" fillId="4" borderId="23" xfId="3" applyNumberFormat="1" applyFont="1" applyBorder="1" applyAlignment="1" applyProtection="1">
      <alignment horizontal="left"/>
    </xf>
    <xf numFmtId="0" fontId="7" fillId="5" borderId="5" xfId="0" applyFont="1" applyFill="1" applyBorder="1" applyAlignment="1">
      <alignment horizontal="left"/>
    </xf>
    <xf numFmtId="0" fontId="7" fillId="5" borderId="6" xfId="0" applyFont="1" applyFill="1" applyBorder="1" applyAlignment="1">
      <alignment horizontal="left"/>
    </xf>
    <xf numFmtId="0" fontId="7" fillId="5" borderId="7" xfId="0" applyFont="1" applyFill="1" applyBorder="1" applyAlignment="1">
      <alignment horizontal="left"/>
    </xf>
    <xf numFmtId="0" fontId="6" fillId="6" borderId="5" xfId="0" applyFont="1" applyFill="1" applyBorder="1" applyAlignment="1">
      <alignment horizontal="left"/>
    </xf>
    <xf numFmtId="0" fontId="6" fillId="6" borderId="6" xfId="0" applyFont="1" applyFill="1" applyBorder="1" applyAlignment="1">
      <alignment horizontal="left"/>
    </xf>
    <xf numFmtId="0" fontId="6" fillId="6" borderId="7" xfId="0" applyFont="1" applyFill="1" applyBorder="1" applyAlignment="1">
      <alignment horizontal="left"/>
    </xf>
    <xf numFmtId="0" fontId="7" fillId="5" borderId="16" xfId="0" applyFont="1" applyFill="1" applyBorder="1" applyAlignment="1">
      <alignment horizontal="center" vertical="center"/>
    </xf>
    <xf numFmtId="0" fontId="7" fillId="5" borderId="11" xfId="0" applyFont="1" applyFill="1" applyBorder="1" applyAlignment="1">
      <alignment horizontal="center" vertical="center"/>
    </xf>
    <xf numFmtId="0" fontId="13" fillId="5" borderId="16" xfId="0" applyFont="1" applyFill="1" applyBorder="1" applyAlignment="1">
      <alignment horizontal="center" vertical="center" wrapText="1"/>
    </xf>
    <xf numFmtId="0" fontId="13" fillId="5" borderId="11" xfId="0" applyFont="1" applyFill="1" applyBorder="1" applyAlignment="1">
      <alignment horizontal="center" vertical="center" wrapText="1"/>
    </xf>
    <xf numFmtId="0" fontId="7" fillId="0" borderId="16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9" xfId="0" applyFont="1" applyBorder="1" applyAlignment="1">
      <alignment horizontal="center" vertical="center"/>
    </xf>
    <xf numFmtId="0" fontId="7" fillId="0" borderId="20" xfId="0" applyFont="1" applyBorder="1" applyAlignment="1">
      <alignment horizontal="center" vertical="center"/>
    </xf>
    <xf numFmtId="0" fontId="7" fillId="5" borderId="18" xfId="0" applyFont="1" applyFill="1" applyBorder="1" applyAlignment="1">
      <alignment horizontal="center" vertical="center"/>
    </xf>
    <xf numFmtId="0" fontId="7" fillId="5" borderId="10" xfId="0" applyFont="1" applyFill="1" applyBorder="1" applyAlignment="1">
      <alignment horizontal="center" vertical="center"/>
    </xf>
    <xf numFmtId="0" fontId="5" fillId="0" borderId="16" xfId="0" applyFont="1" applyBorder="1" applyAlignment="1">
      <alignment horizontal="center"/>
    </xf>
    <xf numFmtId="0" fontId="5" fillId="0" borderId="16" xfId="0" applyFont="1" applyBorder="1" applyAlignment="1">
      <alignment horizontal="center" vertical="center"/>
    </xf>
    <xf numFmtId="164" fontId="5" fillId="0" borderId="0" xfId="0" applyNumberFormat="1" applyFont="1"/>
    <xf numFmtId="0" fontId="14" fillId="0" borderId="16" xfId="0" applyFont="1" applyBorder="1" applyAlignment="1">
      <alignment horizontal="center" vertical="center"/>
    </xf>
    <xf numFmtId="0" fontId="14" fillId="0" borderId="11" xfId="0" applyFont="1" applyBorder="1" applyAlignment="1">
      <alignment horizontal="center" vertical="center"/>
    </xf>
    <xf numFmtId="4" fontId="12" fillId="3" borderId="17" xfId="4" applyNumberFormat="1" applyBorder="1" applyAlignment="1">
      <alignment horizontal="center"/>
    </xf>
    <xf numFmtId="4" fontId="12" fillId="3" borderId="17" xfId="4" applyNumberFormat="1" applyBorder="1" applyAlignment="1">
      <alignment horizontal="center"/>
    </xf>
    <xf numFmtId="0" fontId="5" fillId="0" borderId="19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8" xfId="0" applyFont="1" applyBorder="1"/>
    <xf numFmtId="4" fontId="12" fillId="3" borderId="15" xfId="4" applyNumberFormat="1" applyBorder="1" applyAlignment="1">
      <alignment horizontal="center"/>
    </xf>
    <xf numFmtId="4" fontId="12" fillId="3" borderId="15" xfId="4" applyNumberFormat="1" applyBorder="1" applyAlignment="1">
      <alignment horizontal="center"/>
    </xf>
    <xf numFmtId="4" fontId="5" fillId="4" borderId="2" xfId="3" applyNumberFormat="1" applyFont="1" applyBorder="1" applyAlignment="1" applyProtection="1">
      <alignment horizontal="left"/>
    </xf>
    <xf numFmtId="4" fontId="12" fillId="3" borderId="27" xfId="4" applyNumberFormat="1" applyBorder="1" applyAlignment="1">
      <alignment horizontal="center"/>
    </xf>
    <xf numFmtId="4" fontId="12" fillId="3" borderId="27" xfId="4" applyNumberFormat="1" applyBorder="1" applyAlignment="1">
      <alignment horizontal="center"/>
    </xf>
    <xf numFmtId="4" fontId="5" fillId="4" borderId="13" xfId="3" applyNumberFormat="1" applyFont="1" applyBorder="1" applyAlignment="1" applyProtection="1">
      <alignment horizontal="left"/>
    </xf>
    <xf numFmtId="4" fontId="5" fillId="4" borderId="14" xfId="3" applyNumberFormat="1" applyFont="1" applyBorder="1" applyAlignment="1" applyProtection="1">
      <alignment horizontal="left"/>
    </xf>
    <xf numFmtId="4" fontId="5" fillId="4" borderId="30" xfId="3" applyNumberFormat="1" applyFont="1" applyBorder="1" applyAlignment="1" applyProtection="1">
      <alignment horizontal="left"/>
    </xf>
    <xf numFmtId="4" fontId="5" fillId="4" borderId="31" xfId="3" applyNumberFormat="1" applyFont="1" applyBorder="1" applyAlignment="1" applyProtection="1">
      <alignment horizontal="left"/>
    </xf>
    <xf numFmtId="0" fontId="7" fillId="0" borderId="5" xfId="0" applyFont="1" applyBorder="1"/>
    <xf numFmtId="0" fontId="5" fillId="0" borderId="6" xfId="0" applyFont="1" applyBorder="1"/>
    <xf numFmtId="0" fontId="7" fillId="4" borderId="32" xfId="3" applyFont="1" applyBorder="1" applyAlignment="1" applyProtection="1">
      <alignment horizontal="left"/>
    </xf>
    <xf numFmtId="0" fontId="7" fillId="4" borderId="6" xfId="3" applyFont="1" applyBorder="1" applyAlignment="1" applyProtection="1">
      <alignment horizontal="left"/>
    </xf>
    <xf numFmtId="0" fontId="7" fillId="4" borderId="7" xfId="3" applyFont="1" applyBorder="1" applyAlignment="1" applyProtection="1">
      <alignment horizontal="left"/>
    </xf>
    <xf numFmtId="4" fontId="7" fillId="4" borderId="34" xfId="3" applyNumberFormat="1" applyFont="1" applyBorder="1" applyAlignment="1" applyProtection="1">
      <alignment horizontal="left"/>
    </xf>
    <xf numFmtId="4" fontId="7" fillId="4" borderId="35" xfId="3" applyNumberFormat="1" applyFont="1" applyBorder="1" applyAlignment="1" applyProtection="1">
      <alignment horizontal="left"/>
    </xf>
    <xf numFmtId="4" fontId="5" fillId="4" borderId="36" xfId="3" applyNumberFormat="1" applyFont="1" applyBorder="1" applyAlignment="1" applyProtection="1">
      <alignment horizontal="left"/>
    </xf>
    <xf numFmtId="4" fontId="5" fillId="4" borderId="37" xfId="3" applyNumberFormat="1" applyFont="1" applyBorder="1" applyAlignment="1" applyProtection="1">
      <alignment horizontal="left"/>
    </xf>
    <xf numFmtId="4" fontId="5" fillId="4" borderId="38" xfId="3" applyNumberFormat="1" applyFont="1" applyBorder="1" applyAlignment="1" applyProtection="1">
      <alignment horizontal="left"/>
    </xf>
    <xf numFmtId="4" fontId="5" fillId="4" borderId="39" xfId="3" applyNumberFormat="1" applyFont="1" applyBorder="1" applyAlignment="1" applyProtection="1">
      <alignment horizontal="left"/>
    </xf>
    <xf numFmtId="4" fontId="5" fillId="4" borderId="40" xfId="3" applyNumberFormat="1" applyFont="1" applyBorder="1" applyAlignment="1" applyProtection="1">
      <alignment horizontal="left"/>
    </xf>
    <xf numFmtId="4" fontId="5" fillId="4" borderId="41" xfId="3" applyNumberFormat="1" applyFont="1" applyBorder="1" applyAlignment="1" applyProtection="1">
      <alignment horizontal="left"/>
    </xf>
    <xf numFmtId="4" fontId="5" fillId="4" borderId="42" xfId="3" applyNumberFormat="1" applyFont="1" applyBorder="1" applyAlignment="1" applyProtection="1">
      <alignment horizontal="left"/>
    </xf>
    <xf numFmtId="4" fontId="5" fillId="4" borderId="6" xfId="3" applyNumberFormat="1" applyFont="1" applyBorder="1" applyAlignment="1" applyProtection="1">
      <alignment horizontal="left"/>
    </xf>
    <xf numFmtId="4" fontId="5" fillId="4" borderId="7" xfId="3" applyNumberFormat="1" applyFont="1" applyBorder="1" applyAlignment="1" applyProtection="1">
      <alignment horizontal="left"/>
    </xf>
    <xf numFmtId="4" fontId="12" fillId="3" borderId="15" xfId="4" applyNumberFormat="1" applyBorder="1"/>
    <xf numFmtId="4" fontId="5" fillId="4" borderId="43" xfId="3" applyNumberFormat="1" applyFont="1" applyBorder="1" applyAlignment="1" applyProtection="1">
      <alignment horizontal="left"/>
    </xf>
    <xf numFmtId="4" fontId="5" fillId="4" borderId="44" xfId="3" applyNumberFormat="1" applyFont="1" applyBorder="1" applyAlignment="1" applyProtection="1">
      <alignment horizontal="left"/>
    </xf>
    <xf numFmtId="4" fontId="5" fillId="0" borderId="0" xfId="0" applyNumberFormat="1" applyFont="1" applyBorder="1"/>
    <xf numFmtId="0" fontId="8" fillId="0" borderId="0" xfId="0" applyFont="1" applyBorder="1"/>
    <xf numFmtId="3" fontId="8" fillId="0" borderId="0" xfId="0" applyNumberFormat="1" applyFont="1" applyBorder="1"/>
    <xf numFmtId="0" fontId="8" fillId="0" borderId="45" xfId="0" applyFont="1" applyBorder="1"/>
    <xf numFmtId="4" fontId="5" fillId="4" borderId="46" xfId="3" applyNumberFormat="1" applyFont="1" applyBorder="1" applyAlignment="1" applyProtection="1">
      <alignment horizontal="left"/>
    </xf>
    <xf numFmtId="4" fontId="5" fillId="0" borderId="0" xfId="0" applyNumberFormat="1" applyFont="1" applyBorder="1" applyAlignment="1">
      <alignment horizontal="right"/>
    </xf>
    <xf numFmtId="0" fontId="8" fillId="0" borderId="0" xfId="0" applyFont="1" applyBorder="1" applyAlignment="1">
      <alignment horizontal="right"/>
    </xf>
    <xf numFmtId="4" fontId="12" fillId="3" borderId="17" xfId="4" applyNumberFormat="1" applyBorder="1" applyAlignment="1" applyProtection="1">
      <alignment horizontal="center"/>
    </xf>
    <xf numFmtId="4" fontId="12" fillId="3" borderId="15" xfId="4" applyNumberFormat="1" applyAlignment="1" applyProtection="1">
      <alignment horizontal="center"/>
    </xf>
    <xf numFmtId="4" fontId="12" fillId="3" borderId="26" xfId="4" applyNumberFormat="1" applyBorder="1" applyAlignment="1" applyProtection="1">
      <alignment horizontal="center"/>
    </xf>
    <xf numFmtId="4" fontId="12" fillId="3" borderId="33" xfId="4" applyNumberFormat="1" applyBorder="1" applyAlignment="1" applyProtection="1">
      <alignment horizontal="center"/>
    </xf>
    <xf numFmtId="4" fontId="3" fillId="3" borderId="49" xfId="2" applyNumberFormat="1" applyBorder="1" applyAlignment="1">
      <alignment horizontal="center"/>
    </xf>
    <xf numFmtId="0" fontId="5" fillId="0" borderId="5" xfId="0" applyFont="1" applyBorder="1"/>
    <xf numFmtId="4" fontId="3" fillId="3" borderId="49" xfId="2" applyNumberFormat="1" applyBorder="1" applyAlignment="1">
      <alignment horizontal="right"/>
    </xf>
    <xf numFmtId="4" fontId="7" fillId="0" borderId="0" xfId="0" applyNumberFormat="1" applyFont="1" applyBorder="1" applyAlignment="1">
      <alignment horizontal="right"/>
    </xf>
    <xf numFmtId="4" fontId="7" fillId="0" borderId="11" xfId="0" applyNumberFormat="1" applyFont="1" applyBorder="1" applyAlignment="1">
      <alignment horizontal="right"/>
    </xf>
    <xf numFmtId="4" fontId="7" fillId="0" borderId="48" xfId="0" applyNumberFormat="1" applyFont="1" applyBorder="1" applyAlignment="1">
      <alignment horizontal="right"/>
    </xf>
    <xf numFmtId="4" fontId="5" fillId="4" borderId="40" xfId="3" applyNumberFormat="1" applyFont="1" applyBorder="1" applyAlignment="1" applyProtection="1">
      <alignment horizontal="left" wrapText="1"/>
    </xf>
    <xf numFmtId="4" fontId="3" fillId="3" borderId="1" xfId="2" applyNumberFormat="1" applyBorder="1" applyAlignment="1">
      <alignment horizontal="center"/>
    </xf>
    <xf numFmtId="4" fontId="3" fillId="3" borderId="12" xfId="2" applyNumberFormat="1" applyBorder="1" applyAlignment="1">
      <alignment horizontal="center"/>
    </xf>
    <xf numFmtId="4" fontId="12" fillId="3" borderId="15" xfId="4" applyNumberFormat="1" applyBorder="1" applyAlignment="1">
      <alignment horizontal="right"/>
    </xf>
    <xf numFmtId="0" fontId="7" fillId="5" borderId="5" xfId="0" applyFont="1" applyFill="1" applyBorder="1" applyAlignment="1">
      <alignment horizontal="left" wrapText="1"/>
    </xf>
    <xf numFmtId="0" fontId="5" fillId="0" borderId="8" xfId="0" applyFont="1" applyBorder="1" applyAlignment="1">
      <alignment horizontal="center"/>
    </xf>
    <xf numFmtId="0" fontId="5" fillId="0" borderId="18" xfId="0" applyFont="1" applyBorder="1" applyAlignment="1">
      <alignment horizontal="center"/>
    </xf>
    <xf numFmtId="0" fontId="5" fillId="0" borderId="50" xfId="0" applyFont="1" applyBorder="1" applyAlignment="1">
      <alignment horizontal="center"/>
    </xf>
    <xf numFmtId="0" fontId="5" fillId="0" borderId="10" xfId="0" applyFont="1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5" fillId="0" borderId="48" xfId="0" applyFont="1" applyBorder="1" applyAlignment="1">
      <alignment horizontal="center"/>
    </xf>
    <xf numFmtId="4" fontId="12" fillId="3" borderId="51" xfId="4" applyNumberFormat="1" applyBorder="1" applyAlignment="1">
      <alignment horizontal="center"/>
    </xf>
    <xf numFmtId="4" fontId="12" fillId="3" borderId="52" xfId="4" applyNumberForma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53" xfId="0" applyFont="1" applyBorder="1" applyAlignment="1">
      <alignment horizontal="center"/>
    </xf>
    <xf numFmtId="4" fontId="12" fillId="3" borderId="54" xfId="4" applyNumberFormat="1" applyBorder="1" applyAlignment="1">
      <alignment horizontal="center"/>
    </xf>
    <xf numFmtId="4" fontId="12" fillId="3" borderId="55" xfId="4" applyNumberForma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47" xfId="0" applyFont="1" applyBorder="1" applyAlignment="1">
      <alignment horizontal="center"/>
    </xf>
    <xf numFmtId="4" fontId="12" fillId="3" borderId="42" xfId="4" applyNumberFormat="1" applyBorder="1" applyAlignment="1">
      <alignment horizontal="center"/>
    </xf>
    <xf numFmtId="4" fontId="12" fillId="3" borderId="47" xfId="4" applyNumberFormat="1" applyBorder="1" applyAlignment="1">
      <alignment horizontal="center"/>
    </xf>
    <xf numFmtId="4" fontId="5" fillId="4" borderId="29" xfId="3" applyNumberFormat="1" applyFont="1" applyBorder="1" applyAlignment="1" applyProtection="1">
      <alignment horizontal="left"/>
    </xf>
    <xf numFmtId="4" fontId="5" fillId="4" borderId="0" xfId="3" applyNumberFormat="1" applyFont="1" applyBorder="1" applyAlignment="1" applyProtection="1">
      <alignment horizontal="left"/>
    </xf>
    <xf numFmtId="4" fontId="5" fillId="4" borderId="45" xfId="3" applyNumberFormat="1" applyFont="1" applyBorder="1" applyAlignment="1" applyProtection="1">
      <alignment horizontal="left"/>
    </xf>
    <xf numFmtId="4" fontId="5" fillId="4" borderId="57" xfId="3" applyNumberFormat="1" applyFont="1" applyBorder="1" applyAlignment="1" applyProtection="1">
      <alignment horizontal="left"/>
    </xf>
    <xf numFmtId="4" fontId="5" fillId="4" borderId="24" xfId="3" applyNumberFormat="1" applyFont="1" applyBorder="1" applyAlignment="1" applyProtection="1">
      <alignment horizontal="left"/>
    </xf>
    <xf numFmtId="4" fontId="5" fillId="4" borderId="25" xfId="3" applyNumberFormat="1" applyFont="1" applyBorder="1" applyAlignment="1" applyProtection="1">
      <alignment horizontal="left"/>
    </xf>
    <xf numFmtId="0" fontId="2" fillId="2" borderId="56" xfId="1" applyBorder="1" applyProtection="1">
      <protection locked="0"/>
    </xf>
    <xf numFmtId="4" fontId="8" fillId="0" borderId="0" xfId="0" applyNumberFormat="1" applyFont="1"/>
    <xf numFmtId="0" fontId="15" fillId="0" borderId="8" xfId="0" applyFont="1" applyBorder="1"/>
    <xf numFmtId="0" fontId="15" fillId="0" borderId="10" xfId="0" applyFont="1" applyBorder="1"/>
    <xf numFmtId="2" fontId="5" fillId="0" borderId="0" xfId="0" applyNumberFormat="1" applyFont="1" applyProtection="1">
      <protection hidden="1"/>
    </xf>
    <xf numFmtId="2" fontId="0" fillId="0" borderId="0" xfId="0" applyNumberFormat="1"/>
    <xf numFmtId="2" fontId="5" fillId="0" borderId="0" xfId="0" applyNumberFormat="1" applyFont="1" applyProtection="1">
      <protection locked="0" hidden="1"/>
    </xf>
  </cellXfs>
  <cellStyles count="5">
    <cellStyle name="Ausgabe" xfId="4" builtinId="21"/>
    <cellStyle name="Berechnung" xfId="2" builtinId="22"/>
    <cellStyle name="Eingabe" xfId="1" builtinId="20"/>
    <cellStyle name="Notiz" xfId="3" builtinId="10"/>
    <cellStyle name="Standard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91632944789826"/>
          <c:y val="4.5662140256659135E-2"/>
          <c:w val="0.66398081157539457"/>
          <c:h val="0.82305280128888436"/>
        </c:manualLayout>
      </c:layout>
      <c:scatterChart>
        <c:scatterStyle val="lineMarker"/>
        <c:varyColors val="0"/>
        <c:ser>
          <c:idx val="5"/>
          <c:order val="0"/>
          <c:tx>
            <c:v>AchseY</c:v>
          </c:tx>
          <c:spPr>
            <a:ln w="25400" cap="rnd">
              <a:solidFill>
                <a:schemeClr val="tx1"/>
              </a:solidFill>
              <a:prstDash val="dash"/>
              <a:round/>
              <a:headEnd type="stealth" w="lg" len="lg"/>
              <a:tailEnd type="stealth" w="lg" len="lg"/>
            </a:ln>
            <a:effectLst/>
          </c:spPr>
          <c:marker>
            <c:symbol val="none"/>
          </c:marker>
          <c:xVal>
            <c:numRef>
              <c:f>Berechnungen!$C$140:$D$140</c:f>
              <c:numCache>
                <c:formatCode>#,##0</c:formatCode>
                <c:ptCount val="2"/>
                <c:pt idx="0" formatCode="General">
                  <c:v>0</c:v>
                </c:pt>
                <c:pt idx="1">
                  <c:v>600</c:v>
                </c:pt>
              </c:numCache>
            </c:numRef>
          </c:xVal>
          <c:yVal>
            <c:numRef>
              <c:f>Berechnungen!$E$140:$F$140</c:f>
              <c:numCache>
                <c:formatCode>#,##0.00</c:formatCode>
                <c:ptCount val="2"/>
                <c:pt idx="0">
                  <c:v>200</c:v>
                </c:pt>
                <c:pt idx="1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5D7-B642-B1E3-EA603FFD7481}"/>
            </c:ext>
          </c:extLst>
        </c:ser>
        <c:ser>
          <c:idx val="6"/>
          <c:order val="1"/>
          <c:tx>
            <c:v>AchseZ</c:v>
          </c:tx>
          <c:spPr>
            <a:ln w="25400" cap="rnd">
              <a:solidFill>
                <a:schemeClr val="accent1">
                  <a:lumMod val="60000"/>
                </a:schemeClr>
              </a:solidFill>
              <a:prstDash val="dash"/>
              <a:round/>
              <a:headEnd type="stealth" w="lg" len="lg"/>
              <a:tailEnd type="stealth" w="lg" len="lg"/>
            </a:ln>
            <a:effectLst/>
          </c:spPr>
          <c:marker>
            <c:symbol val="none"/>
          </c:marker>
          <c:xVal>
            <c:numRef>
              <c:f>Berechnungen!$E$141:$F$141</c:f>
              <c:numCache>
                <c:formatCode>#,##0.00</c:formatCode>
                <c:ptCount val="2"/>
                <c:pt idx="0">
                  <c:v>300</c:v>
                </c:pt>
                <c:pt idx="1">
                  <c:v>300</c:v>
                </c:pt>
              </c:numCache>
            </c:numRef>
          </c:xVal>
          <c:yVal>
            <c:numRef>
              <c:f>Berechnungen!$C$141:$D$141</c:f>
              <c:numCache>
                <c:formatCode>#,##0</c:formatCode>
                <c:ptCount val="2"/>
                <c:pt idx="0" formatCode="General">
                  <c:v>0</c:v>
                </c:pt>
                <c:pt idx="1">
                  <c:v>600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5D7-B642-B1E3-EA603FFD7481}"/>
            </c:ext>
          </c:extLst>
        </c:ser>
        <c:ser>
          <c:idx val="0"/>
          <c:order val="2"/>
          <c:tx>
            <c:v>Figur1</c:v>
          </c:tx>
          <c:spPr>
            <a:ln w="38100" cap="rnd">
              <a:solidFill>
                <a:schemeClr val="accent1"/>
              </a:solidFill>
              <a:round/>
            </a:ln>
            <a:effectLst>
              <a:glow rad="127000">
                <a:schemeClr val="bg1"/>
              </a:glow>
            </a:effectLst>
          </c:spPr>
          <c:marker>
            <c:symbol val="none"/>
          </c:marker>
          <c:xVal>
            <c:numRef>
              <c:f>Berechnungen!$K$80:$O$80</c:f>
              <c:numCache>
                <c:formatCode>General</c:formatCode>
                <c:ptCount val="5"/>
                <c:pt idx="0">
                  <c:v>0</c:v>
                </c:pt>
                <c:pt idx="1">
                  <c:v>200</c:v>
                </c:pt>
                <c:pt idx="2">
                  <c:v>200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Berechnungen!$K$92:$O$92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100</c:v>
                </c:pt>
                <c:pt idx="3">
                  <c:v>100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71-2E4A-B783-46FA729929D6}"/>
            </c:ext>
          </c:extLst>
        </c:ser>
        <c:ser>
          <c:idx val="1"/>
          <c:order val="3"/>
          <c:tx>
            <c:strRef>
              <c:f>Berechnungen!$A$36</c:f>
              <c:strCache>
                <c:ptCount val="1"/>
                <c:pt idx="0">
                  <c:v>Figur2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Berechnungen!$K$81:$O$81</c:f>
              <c:numCache>
                <c:formatCode>General</c:formatCode>
                <c:ptCount val="5"/>
                <c:pt idx="0">
                  <c:v>400</c:v>
                </c:pt>
                <c:pt idx="1">
                  <c:v>600</c:v>
                </c:pt>
                <c:pt idx="2">
                  <c:v>600</c:v>
                </c:pt>
                <c:pt idx="3">
                  <c:v>400</c:v>
                </c:pt>
                <c:pt idx="4">
                  <c:v>400</c:v>
                </c:pt>
              </c:numCache>
            </c:numRef>
          </c:xVal>
          <c:yVal>
            <c:numRef>
              <c:f>Berechnungen!$K$93:$O$93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100</c:v>
                </c:pt>
                <c:pt idx="3">
                  <c:v>100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D7-B642-B1E3-EA603FFD7481}"/>
            </c:ext>
          </c:extLst>
        </c:ser>
        <c:ser>
          <c:idx val="2"/>
          <c:order val="4"/>
          <c:tx>
            <c:strRef>
              <c:f>Berechnungen!$A$37</c:f>
              <c:strCache>
                <c:ptCount val="1"/>
                <c:pt idx="0">
                  <c:v>Figur3</c:v>
                </c:pt>
              </c:strCache>
            </c:strRef>
          </c:tx>
          <c:spPr>
            <a:ln w="381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Berechnungen!$K$82:$O$82</c:f>
              <c:numCache>
                <c:formatCode>General</c:formatCode>
                <c:ptCount val="5"/>
                <c:pt idx="0">
                  <c:v>100</c:v>
                </c:pt>
                <c:pt idx="1">
                  <c:v>200</c:v>
                </c:pt>
                <c:pt idx="2">
                  <c:v>200</c:v>
                </c:pt>
                <c:pt idx="3">
                  <c:v>100</c:v>
                </c:pt>
                <c:pt idx="4">
                  <c:v>100</c:v>
                </c:pt>
              </c:numCache>
            </c:numRef>
          </c:xVal>
          <c:yVal>
            <c:numRef>
              <c:f>Berechnungen!$K$94:$O$94</c:f>
              <c:numCache>
                <c:formatCode>General</c:formatCode>
                <c:ptCount val="5"/>
                <c:pt idx="0">
                  <c:v>100</c:v>
                </c:pt>
                <c:pt idx="1">
                  <c:v>100</c:v>
                </c:pt>
                <c:pt idx="2">
                  <c:v>300</c:v>
                </c:pt>
                <c:pt idx="3">
                  <c:v>300</c:v>
                </c:pt>
                <c:pt idx="4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D7-B642-B1E3-EA603FFD7481}"/>
            </c:ext>
          </c:extLst>
        </c:ser>
        <c:ser>
          <c:idx val="3"/>
          <c:order val="5"/>
          <c:tx>
            <c:strRef>
              <c:f>Berechnungen!$A$38</c:f>
              <c:strCache>
                <c:ptCount val="1"/>
                <c:pt idx="0">
                  <c:v>Figur4</c:v>
                </c:pt>
              </c:strCache>
            </c:strRef>
          </c:tx>
          <c:spPr>
            <a:ln w="381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Berechnungen!$K$83:$O$83</c:f>
              <c:numCache>
                <c:formatCode>General</c:formatCode>
                <c:ptCount val="5"/>
                <c:pt idx="0">
                  <c:v>400</c:v>
                </c:pt>
                <c:pt idx="1">
                  <c:v>500</c:v>
                </c:pt>
                <c:pt idx="2">
                  <c:v>500</c:v>
                </c:pt>
                <c:pt idx="3">
                  <c:v>400</c:v>
                </c:pt>
                <c:pt idx="4">
                  <c:v>400</c:v>
                </c:pt>
              </c:numCache>
            </c:numRef>
          </c:xVal>
          <c:yVal>
            <c:numRef>
              <c:f>Berechnungen!$K$95:$O$95</c:f>
              <c:numCache>
                <c:formatCode>General</c:formatCode>
                <c:ptCount val="5"/>
                <c:pt idx="0">
                  <c:v>100</c:v>
                </c:pt>
                <c:pt idx="1">
                  <c:v>100</c:v>
                </c:pt>
                <c:pt idx="2">
                  <c:v>300</c:v>
                </c:pt>
                <c:pt idx="3">
                  <c:v>300</c:v>
                </c:pt>
                <c:pt idx="4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5D7-B642-B1E3-EA603FFD7481}"/>
            </c:ext>
          </c:extLst>
        </c:ser>
        <c:ser>
          <c:idx val="4"/>
          <c:order val="6"/>
          <c:tx>
            <c:strRef>
              <c:f>Berechnungen!$A$39</c:f>
              <c:strCache>
                <c:ptCount val="1"/>
                <c:pt idx="0">
                  <c:v>Figur5</c:v>
                </c:pt>
              </c:strCache>
            </c:strRef>
          </c:tx>
          <c:spPr>
            <a:ln w="3810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Berechnungen!$K$84:$O$84</c:f>
              <c:numCache>
                <c:formatCode>General</c:formatCode>
                <c:ptCount val="5"/>
                <c:pt idx="0">
                  <c:v>100</c:v>
                </c:pt>
                <c:pt idx="1">
                  <c:v>500</c:v>
                </c:pt>
                <c:pt idx="2">
                  <c:v>500</c:v>
                </c:pt>
                <c:pt idx="3">
                  <c:v>100</c:v>
                </c:pt>
                <c:pt idx="4">
                  <c:v>100</c:v>
                </c:pt>
              </c:numCache>
            </c:numRef>
          </c:xVal>
          <c:yVal>
            <c:numRef>
              <c:f>Berechnungen!$K$96:$O$96</c:f>
              <c:numCache>
                <c:formatCode>General</c:formatCode>
                <c:ptCount val="5"/>
                <c:pt idx="0">
                  <c:v>300</c:v>
                </c:pt>
                <c:pt idx="1">
                  <c:v>300</c:v>
                </c:pt>
                <c:pt idx="2">
                  <c:v>400</c:v>
                </c:pt>
                <c:pt idx="3">
                  <c:v>400</c:v>
                </c:pt>
                <c:pt idx="4">
                  <c:v>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5D7-B642-B1E3-EA603FFD7481}"/>
            </c:ext>
          </c:extLst>
        </c:ser>
        <c:ser>
          <c:idx val="7"/>
          <c:order val="7"/>
          <c:tx>
            <c:strRef>
              <c:f>Berechnungen!$A$40</c:f>
              <c:strCache>
                <c:ptCount val="1"/>
                <c:pt idx="0">
                  <c:v>Figur6</c:v>
                </c:pt>
              </c:strCache>
            </c:strRef>
          </c:tx>
          <c:spPr>
            <a:ln w="3810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Berechnungen!$K$85:$O$85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Berechnungen!$K$97:$O$97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5D7-B642-B1E3-EA603FFD7481}"/>
            </c:ext>
          </c:extLst>
        </c:ser>
        <c:ser>
          <c:idx val="8"/>
          <c:order val="8"/>
          <c:tx>
            <c:strRef>
              <c:f>Berechnungen!$A$41</c:f>
              <c:strCache>
                <c:ptCount val="1"/>
                <c:pt idx="0">
                  <c:v>Figur7</c:v>
                </c:pt>
              </c:strCache>
            </c:strRef>
          </c:tx>
          <c:spPr>
            <a:ln w="3810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Berechnungen!$K$86:$O$86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Berechnungen!$K$98:$O$98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5D7-B642-B1E3-EA603FFD7481}"/>
            </c:ext>
          </c:extLst>
        </c:ser>
        <c:ser>
          <c:idx val="9"/>
          <c:order val="9"/>
          <c:tx>
            <c:strRef>
              <c:f>Berechnungen!$A$42</c:f>
              <c:strCache>
                <c:ptCount val="1"/>
                <c:pt idx="0">
                  <c:v>Figur8</c:v>
                </c:pt>
              </c:strCache>
            </c:strRef>
          </c:tx>
          <c:spPr>
            <a:ln w="3810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Berechnungen!$K$87:$O$87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Berechnungen!$K$99:$O$99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95D7-B642-B1E3-EA603FFD74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10001"/>
        <c:axId val="50010002"/>
      </c:scatterChart>
      <c:valAx>
        <c:axId val="50010001"/>
        <c:scaling>
          <c:orientation val="minMax"/>
          <c:max val="6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Y-Achse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cross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10002"/>
        <c:crosses val="autoZero"/>
        <c:crossBetween val="midCat"/>
        <c:majorUnit val="50"/>
      </c:valAx>
      <c:valAx>
        <c:axId val="50010002"/>
        <c:scaling>
          <c:orientation val="minMax"/>
          <c:max val="6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Z-Achse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.00" sourceLinked="1"/>
        <c:majorTickMark val="cross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10001"/>
        <c:crosses val="autoZero"/>
        <c:crossBetween val="midCat"/>
        <c:majorUnit val="50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119773</xdr:colOff>
      <xdr:row>1</xdr:row>
      <xdr:rowOff>165875</xdr:rowOff>
    </xdr:from>
    <xdr:to>
      <xdr:col>7</xdr:col>
      <xdr:colOff>437931</xdr:colOff>
      <xdr:row>31</xdr:row>
      <xdr:rowOff>100381</xdr:rowOff>
    </xdr:to>
    <xdr:graphicFrame macro="">
      <xdr:nvGraphicFramePr>
        <xdr:cNvPr id="2" name="Konstruk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V144"/>
  <sheetViews>
    <sheetView showGridLines="0" tabSelected="1" topLeftCell="A61" zoomScale="125" workbookViewId="0">
      <selection activeCell="E40" sqref="E40"/>
    </sheetView>
  </sheetViews>
  <sheetFormatPr baseColWidth="10" defaultColWidth="8.83203125" defaultRowHeight="15" x14ac:dyDescent="0.2"/>
  <cols>
    <col min="1" max="1" width="8.83203125" style="9"/>
    <col min="2" max="2" width="14" style="9" bestFit="1" customWidth="1"/>
    <col min="3" max="6" width="14.5" style="9" customWidth="1"/>
    <col min="7" max="7" width="17.6640625" style="9" bestFit="1" customWidth="1"/>
    <col min="8" max="8" width="17.33203125" style="9" bestFit="1" customWidth="1"/>
    <col min="9" max="9" width="26.83203125" style="9" customWidth="1"/>
    <col min="10" max="10" width="55.6640625" style="9" customWidth="1"/>
    <col min="11" max="11" width="4.1640625" style="9" bestFit="1" customWidth="1"/>
    <col min="12" max="12" width="38" style="9" bestFit="1" customWidth="1"/>
    <col min="13" max="15" width="4.1640625" style="9" bestFit="1" customWidth="1"/>
    <col min="16" max="19" width="9.33203125" style="9" bestFit="1" customWidth="1"/>
    <col min="20" max="22" width="9.1640625" style="9" bestFit="1" customWidth="1"/>
    <col min="23" max="16384" width="8.83203125" style="9"/>
  </cols>
  <sheetData>
    <row r="1" spans="1:22" ht="20" thickBot="1" x14ac:dyDescent="0.3">
      <c r="A1" s="5" t="s">
        <v>30</v>
      </c>
      <c r="B1" s="6"/>
      <c r="C1" s="6"/>
      <c r="D1" s="6"/>
      <c r="E1" s="6"/>
      <c r="F1" s="6"/>
      <c r="G1" s="6"/>
      <c r="H1" s="6"/>
      <c r="I1" s="6"/>
      <c r="J1" s="6"/>
      <c r="K1" s="6"/>
      <c r="L1" s="7" t="s">
        <v>29</v>
      </c>
      <c r="M1" s="8"/>
      <c r="N1" s="8"/>
      <c r="O1" s="8"/>
      <c r="P1" s="8"/>
      <c r="Q1" s="8"/>
      <c r="R1" s="8"/>
      <c r="S1" s="8"/>
      <c r="T1" s="8"/>
      <c r="U1" s="8"/>
      <c r="V1" s="8"/>
    </row>
    <row r="12" spans="1:22" ht="19" customHeight="1" x14ac:dyDescent="0.2">
      <c r="H12" s="11"/>
      <c r="J12" s="11"/>
    </row>
    <row r="13" spans="1:22" ht="19" customHeight="1" x14ac:dyDescent="0.2">
      <c r="H13" s="11"/>
      <c r="J13" s="11"/>
    </row>
    <row r="14" spans="1:22" ht="19" customHeight="1" x14ac:dyDescent="0.2">
      <c r="H14" s="11"/>
      <c r="I14" s="11"/>
      <c r="J14" s="11"/>
    </row>
    <row r="15" spans="1:22" ht="19" customHeight="1" x14ac:dyDescent="0.2">
      <c r="H15" s="11"/>
      <c r="I15" s="11"/>
      <c r="J15" s="11"/>
    </row>
    <row r="16" spans="1:22" ht="19" customHeight="1" x14ac:dyDescent="0.2"/>
    <row r="17" spans="4:10" ht="19" customHeight="1" x14ac:dyDescent="0.2"/>
    <row r="18" spans="4:10" ht="15" customHeight="1" x14ac:dyDescent="0.2"/>
    <row r="19" spans="4:10" ht="15" customHeight="1" x14ac:dyDescent="0.2"/>
    <row r="20" spans="4:10" ht="15" customHeight="1" x14ac:dyDescent="0.2">
      <c r="D20" s="8"/>
    </row>
    <row r="21" spans="4:10" ht="15" customHeight="1" x14ac:dyDescent="0.2">
      <c r="D21" s="8"/>
    </row>
    <row r="22" spans="4:10" x14ac:dyDescent="0.2">
      <c r="D22" s="8"/>
    </row>
    <row r="23" spans="4:10" x14ac:dyDescent="0.2">
      <c r="D23" s="8"/>
    </row>
    <row r="24" spans="4:10" x14ac:dyDescent="0.2">
      <c r="D24" s="8"/>
    </row>
    <row r="25" spans="4:10" x14ac:dyDescent="0.2">
      <c r="D25" s="8"/>
    </row>
    <row r="26" spans="4:10" x14ac:dyDescent="0.2">
      <c r="D26" s="8"/>
      <c r="G26" s="12"/>
      <c r="H26" s="12"/>
      <c r="I26" s="12"/>
    </row>
    <row r="27" spans="4:10" x14ac:dyDescent="0.2">
      <c r="D27" s="8"/>
      <c r="G27" s="12"/>
      <c r="H27" s="12"/>
    </row>
    <row r="28" spans="4:10" x14ac:dyDescent="0.2">
      <c r="D28" s="8"/>
      <c r="G28" s="12"/>
      <c r="H28" s="12"/>
    </row>
    <row r="29" spans="4:10" x14ac:dyDescent="0.2">
      <c r="D29" s="8"/>
      <c r="G29" s="12"/>
      <c r="H29" s="12"/>
    </row>
    <row r="30" spans="4:10" x14ac:dyDescent="0.2">
      <c r="D30" s="8"/>
      <c r="G30" s="12"/>
      <c r="H30" s="12"/>
    </row>
    <row r="31" spans="4:10" x14ac:dyDescent="0.2">
      <c r="D31" s="8"/>
      <c r="G31" s="12"/>
      <c r="H31" s="12"/>
      <c r="J31" s="8"/>
    </row>
    <row r="32" spans="4:10" ht="16" thickBot="1" x14ac:dyDescent="0.25">
      <c r="D32" s="8"/>
      <c r="E32" s="8"/>
      <c r="F32" s="8"/>
      <c r="G32" s="8"/>
      <c r="H32" s="13"/>
      <c r="I32" s="8"/>
      <c r="J32" s="8"/>
    </row>
    <row r="33" spans="1:10" ht="15" customHeight="1" x14ac:dyDescent="0.2">
      <c r="A33" s="44" t="s">
        <v>0</v>
      </c>
      <c r="B33" s="38" t="s">
        <v>42</v>
      </c>
      <c r="C33" s="36" t="s">
        <v>43</v>
      </c>
      <c r="D33" s="38" t="s">
        <v>44</v>
      </c>
      <c r="E33" s="36" t="s">
        <v>31</v>
      </c>
      <c r="F33" s="24" t="s">
        <v>40</v>
      </c>
      <c r="I33" s="8"/>
      <c r="J33" s="8"/>
    </row>
    <row r="34" spans="1:10" ht="16" thickBot="1" x14ac:dyDescent="0.25">
      <c r="A34" s="45"/>
      <c r="B34" s="39"/>
      <c r="C34" s="37"/>
      <c r="D34" s="39"/>
      <c r="E34" s="37"/>
      <c r="F34" s="25"/>
      <c r="I34" s="8"/>
      <c r="J34" s="8"/>
    </row>
    <row r="35" spans="1:10" ht="16" x14ac:dyDescent="0.2">
      <c r="A35" s="14" t="s">
        <v>3</v>
      </c>
      <c r="B35" s="2">
        <v>0</v>
      </c>
      <c r="C35" s="2">
        <v>200</v>
      </c>
      <c r="D35" s="2">
        <v>0</v>
      </c>
      <c r="E35" s="2">
        <v>100</v>
      </c>
      <c r="F35" s="15">
        <f>IF(OR(ISBLANK(C35), ISBLANK(E35)), "", C35*E35)</f>
        <v>20000</v>
      </c>
      <c r="I35" s="8"/>
      <c r="J35" s="8"/>
    </row>
    <row r="36" spans="1:10" ht="18" x14ac:dyDescent="0.2">
      <c r="A36" s="14" t="s">
        <v>4</v>
      </c>
      <c r="B36" s="3">
        <v>400</v>
      </c>
      <c r="C36" s="3">
        <v>200</v>
      </c>
      <c r="D36" s="3">
        <v>0</v>
      </c>
      <c r="E36" s="3">
        <v>100</v>
      </c>
      <c r="F36" s="16">
        <f t="shared" ref="F36:F40" si="0">IF(OR(ISBLANK(C36), ISBLANK(E36)), "", C36*E36)</f>
        <v>20000</v>
      </c>
      <c r="H36" s="10" t="s">
        <v>36</v>
      </c>
      <c r="I36" s="8"/>
      <c r="J36" s="8"/>
    </row>
    <row r="37" spans="1:10" ht="18" x14ac:dyDescent="0.2">
      <c r="A37" s="14" t="s">
        <v>5</v>
      </c>
      <c r="B37" s="3">
        <v>100</v>
      </c>
      <c r="C37" s="3">
        <v>100</v>
      </c>
      <c r="D37" s="3">
        <v>100</v>
      </c>
      <c r="E37" s="3">
        <v>200</v>
      </c>
      <c r="F37" s="16">
        <f t="shared" si="0"/>
        <v>20000</v>
      </c>
      <c r="G37" s="48"/>
      <c r="H37" s="10" t="s">
        <v>37</v>
      </c>
      <c r="I37" s="8"/>
      <c r="J37" s="8"/>
    </row>
    <row r="38" spans="1:10" ht="18" x14ac:dyDescent="0.2">
      <c r="A38" s="14" t="s">
        <v>6</v>
      </c>
      <c r="B38" s="3">
        <v>400</v>
      </c>
      <c r="C38" s="3">
        <v>100</v>
      </c>
      <c r="D38" s="3">
        <v>100</v>
      </c>
      <c r="E38" s="3">
        <v>200</v>
      </c>
      <c r="F38" s="16">
        <f t="shared" si="0"/>
        <v>20000</v>
      </c>
      <c r="H38" s="10" t="s">
        <v>38</v>
      </c>
      <c r="I38" s="8"/>
      <c r="J38" s="8"/>
    </row>
    <row r="39" spans="1:10" ht="18" x14ac:dyDescent="0.2">
      <c r="A39" s="14" t="s">
        <v>7</v>
      </c>
      <c r="B39" s="3">
        <v>100</v>
      </c>
      <c r="C39" s="3">
        <v>400</v>
      </c>
      <c r="D39" s="3">
        <v>300</v>
      </c>
      <c r="E39" s="3">
        <v>100</v>
      </c>
      <c r="F39" s="16">
        <f t="shared" si="0"/>
        <v>40000</v>
      </c>
      <c r="H39" s="10" t="s">
        <v>35</v>
      </c>
      <c r="I39" s="8"/>
      <c r="J39" s="8"/>
    </row>
    <row r="40" spans="1:10" ht="18" x14ac:dyDescent="0.2">
      <c r="A40" s="14" t="s">
        <v>26</v>
      </c>
      <c r="B40" s="3"/>
      <c r="C40" s="3"/>
      <c r="D40" s="3"/>
      <c r="E40" s="3"/>
      <c r="F40" s="16" t="str">
        <f t="shared" si="0"/>
        <v/>
      </c>
      <c r="H40" s="10" t="s">
        <v>39</v>
      </c>
      <c r="I40" s="8"/>
      <c r="J40" s="8"/>
    </row>
    <row r="41" spans="1:10" ht="16" x14ac:dyDescent="0.2">
      <c r="A41" s="14" t="s">
        <v>27</v>
      </c>
      <c r="B41" s="3"/>
      <c r="C41" s="3"/>
      <c r="D41" s="3"/>
      <c r="E41" s="3"/>
      <c r="F41" s="16" t="str">
        <f>IF(OR(ISBLANK(C41), ISBLANK(E41)), "", C41*E41)</f>
        <v/>
      </c>
      <c r="H41" s="13"/>
      <c r="I41" s="8"/>
      <c r="J41" s="8"/>
    </row>
    <row r="42" spans="1:10" ht="17" thickBot="1" x14ac:dyDescent="0.25">
      <c r="A42" s="17" t="s">
        <v>28</v>
      </c>
      <c r="B42" s="4"/>
      <c r="C42" s="4"/>
      <c r="D42" s="4"/>
      <c r="E42" s="4"/>
      <c r="F42" s="18" t="str">
        <f>IF(OR(ISBLANK(C42), ISBLANK(E42)), "", C42*E42)</f>
        <v/>
      </c>
      <c r="H42" s="13"/>
      <c r="I42" s="8"/>
      <c r="J42" s="8"/>
    </row>
    <row r="43" spans="1:10" ht="16" thickBot="1" x14ac:dyDescent="0.25">
      <c r="D43" s="8"/>
      <c r="E43" s="8"/>
      <c r="F43" s="8"/>
      <c r="G43" s="8"/>
      <c r="H43" s="13"/>
      <c r="I43" s="8"/>
      <c r="J43" s="8"/>
    </row>
    <row r="44" spans="1:10" ht="20" thickBot="1" x14ac:dyDescent="0.3">
      <c r="A44" s="5" t="s">
        <v>33</v>
      </c>
      <c r="B44" s="6"/>
      <c r="C44" s="6"/>
      <c r="D44" s="6"/>
      <c r="E44" s="6"/>
      <c r="F44" s="6"/>
      <c r="G44" s="6"/>
      <c r="H44" s="6"/>
      <c r="I44" s="6"/>
      <c r="J44" s="7"/>
    </row>
    <row r="45" spans="1:10" ht="16" thickBot="1" x14ac:dyDescent="0.25">
      <c r="B45" s="30" t="s">
        <v>59</v>
      </c>
      <c r="C45" s="31"/>
      <c r="D45" s="31"/>
      <c r="E45" s="31"/>
      <c r="F45" s="31"/>
      <c r="G45" s="31"/>
      <c r="H45" s="31"/>
      <c r="I45" s="31"/>
      <c r="J45" s="32"/>
    </row>
    <row r="46" spans="1:10" x14ac:dyDescent="0.2">
      <c r="B46" s="22" t="s">
        <v>0</v>
      </c>
      <c r="C46" s="47" t="s">
        <v>60</v>
      </c>
      <c r="D46" s="47"/>
      <c r="E46" s="40" t="s">
        <v>32</v>
      </c>
      <c r="F46" s="40"/>
      <c r="G46" s="40"/>
      <c r="H46" s="40"/>
      <c r="I46" s="40"/>
      <c r="J46" s="42"/>
    </row>
    <row r="47" spans="1:10" ht="16" thickBot="1" x14ac:dyDescent="0.25">
      <c r="B47" s="23"/>
      <c r="C47" s="54"/>
      <c r="D47" s="54"/>
      <c r="E47" s="41"/>
      <c r="F47" s="41"/>
      <c r="G47" s="41"/>
      <c r="H47" s="41"/>
      <c r="I47" s="41"/>
      <c r="J47" s="43"/>
    </row>
    <row r="48" spans="1:10" ht="16" x14ac:dyDescent="0.2">
      <c r="B48" s="56" t="s">
        <v>3</v>
      </c>
      <c r="C48" s="105">
        <f>(IF(AND(ISNUMBER(F35),ISNUMBER(E35),ISNUMBER(D35)),(F35*((E35/2)+D35)),""))</f>
        <v>1000000</v>
      </c>
      <c r="D48" s="105"/>
      <c r="E48" s="73" t="str">
        <f>IF(AND(ISNUMBER(F35), ISNUMBER(E35), ISNUMBER(D35)),
    F35 &amp; " * ((" &amp; E35 &amp; " / 2) + " &amp; D35 &amp; ")",
    ""
)</f>
        <v>20000 * ((100 / 2) + 0)</v>
      </c>
      <c r="F48" s="74"/>
      <c r="G48" s="74"/>
      <c r="H48" s="74"/>
      <c r="I48" s="74"/>
      <c r="J48" s="83"/>
    </row>
    <row r="49" spans="2:10" ht="16" x14ac:dyDescent="0.2">
      <c r="B49" s="56" t="s">
        <v>4</v>
      </c>
      <c r="C49" s="105">
        <f>IF(AND(ISNUMBER(F36), ISNUMBER(E36), ISNUMBER(D36)), (F36*((E36/2)+D36)), "")</f>
        <v>1000000</v>
      </c>
      <c r="D49" s="105"/>
      <c r="E49" s="75" t="str">
        <f>IF(AND(ISNUMBER(F36), ISNUMBER(E36), ISNUMBER(D36)),
    " + " &amp; F36 &amp; " * ((" &amp; E36 &amp; " / 2) + " &amp; D36 &amp; ")",
    ""
)</f>
        <v xml:space="preserve"> + 20000 * ((100 / 2) + 0)</v>
      </c>
      <c r="F49" s="76"/>
      <c r="G49" s="76"/>
      <c r="H49" s="76"/>
      <c r="I49" s="76"/>
      <c r="J49" s="84"/>
    </row>
    <row r="50" spans="2:10" ht="16" x14ac:dyDescent="0.2">
      <c r="B50" s="56" t="s">
        <v>5</v>
      </c>
      <c r="C50" s="105">
        <f>IF(AND(ISNUMBER(F37), ISNUMBER(E37), ISNUMBER(D37)), (F37*((E37/2)+D37)), "")</f>
        <v>4000000</v>
      </c>
      <c r="D50" s="105"/>
      <c r="E50" s="75" t="str">
        <f>IF(AND(ISNUMBER(F37), ISNUMBER(E37), ISNUMBER(D37)),
    " + " &amp; F37 &amp; " * ((" &amp; E37 &amp; " / 2) + " &amp; D37 &amp; ")",
    ""
)</f>
        <v xml:space="preserve"> + 20000 * ((200 / 2) + 100)</v>
      </c>
      <c r="F50" s="76"/>
      <c r="G50" s="76"/>
      <c r="H50" s="76"/>
      <c r="I50" s="76"/>
      <c r="J50" s="84"/>
    </row>
    <row r="51" spans="2:10" ht="16" x14ac:dyDescent="0.2">
      <c r="B51" s="56" t="s">
        <v>6</v>
      </c>
      <c r="C51" s="105">
        <f>IF(AND(ISNUMBER(F38), ISNUMBER(E38), ISNUMBER(D38)), (F38*((E38/2)+D38)), "")</f>
        <v>4000000</v>
      </c>
      <c r="D51" s="105"/>
      <c r="E51" s="75" t="str">
        <f>IF(AND(ISNUMBER(F38), ISNUMBER(E38), ISNUMBER(D38)),
    " + " &amp; F38 &amp; " * ((" &amp; E38 &amp; " / 2) + " &amp; D38 &amp; ")",
    ""
)</f>
        <v xml:space="preserve"> + 20000 * ((200 / 2) + 100)</v>
      </c>
      <c r="F51" s="76"/>
      <c r="G51" s="76"/>
      <c r="H51" s="76"/>
      <c r="I51" s="76"/>
      <c r="J51" s="84"/>
    </row>
    <row r="52" spans="2:10" ht="16" x14ac:dyDescent="0.2">
      <c r="B52" s="56" t="s">
        <v>7</v>
      </c>
      <c r="C52" s="105">
        <f>IF(AND(ISNUMBER(F39), ISNUMBER(E39), ISNUMBER(D39)), (F39*((E39/2)+D39)), "")</f>
        <v>14000000</v>
      </c>
      <c r="D52" s="105"/>
      <c r="E52" s="75" t="str">
        <f>IF(AND(ISNUMBER(F39), ISNUMBER(E39), ISNUMBER(D39)),
    " + " &amp; F39 &amp; " * ((" &amp; E39 &amp; " / 2) + " &amp; D39 &amp; ")",
    ""
)</f>
        <v xml:space="preserve"> + 40000 * ((100 / 2) + 300)</v>
      </c>
      <c r="F52" s="76"/>
      <c r="G52" s="76"/>
      <c r="H52" s="76"/>
      <c r="I52" s="76"/>
      <c r="J52" s="84"/>
    </row>
    <row r="53" spans="2:10" ht="16" x14ac:dyDescent="0.2">
      <c r="B53" s="56" t="s">
        <v>26</v>
      </c>
      <c r="C53" s="105" t="str">
        <f>IF(AND(ISNUMBER(F40), ISNUMBER(E40), ISNUMBER(D40)), (F40*((E40/2)+D40)), "")</f>
        <v/>
      </c>
      <c r="D53" s="105"/>
      <c r="E53" s="75" t="str">
        <f>IF(AND(ISNUMBER(F40), ISNUMBER(E40), ISNUMBER(D40)),
    " + " &amp; F40 &amp; " * ((" &amp; E40 &amp; " / 2) + " &amp; D40 &amp; ")",
    ""
)</f>
        <v/>
      </c>
      <c r="F53" s="76"/>
      <c r="G53" s="76"/>
      <c r="H53" s="76"/>
      <c r="I53" s="76"/>
      <c r="J53" s="84"/>
    </row>
    <row r="54" spans="2:10" ht="16" x14ac:dyDescent="0.2">
      <c r="B54" s="56" t="s">
        <v>27</v>
      </c>
      <c r="C54" s="105" t="str">
        <f>IF(AND(ISNUMBER(F41), ISNUMBER(E41), ISNUMBER(D41)), (F41*((E41/2)+D41)), "")</f>
        <v/>
      </c>
      <c r="D54" s="105"/>
      <c r="E54" s="75" t="str">
        <f>IF(AND(ISNUMBER(F41), ISNUMBER(E41), ISNUMBER(D41)),
    " + " &amp; F41 &amp; " * ((" &amp; E41 &amp; " / 2) + " &amp; D41 &amp; ")",
    ""
)</f>
        <v/>
      </c>
      <c r="F54" s="76"/>
      <c r="G54" s="76"/>
      <c r="H54" s="76"/>
      <c r="I54" s="76"/>
      <c r="J54" s="84"/>
    </row>
    <row r="55" spans="2:10" ht="16" x14ac:dyDescent="0.2">
      <c r="B55" s="56" t="s">
        <v>28</v>
      </c>
      <c r="C55" s="105" t="str">
        <f>IF(AND(ISNUMBER(F42),ISNUMBER(E42),ISNUMBER(D42)),(F42*((E42/2)+D42)), "")</f>
        <v/>
      </c>
      <c r="D55" s="105"/>
      <c r="E55" s="75" t="str">
        <f>IF(AND(ISNUMBER(F42), ISNUMBER(E42), ISNUMBER(D42)),
    " + " &amp; F42 &amp; " * ((" &amp; E42 &amp; " / 2) + " &amp; D42 &amp; ")",
    ""
)</f>
        <v/>
      </c>
      <c r="F55" s="76"/>
      <c r="G55" s="76"/>
      <c r="H55" s="76"/>
      <c r="I55" s="76"/>
      <c r="J55" s="84"/>
    </row>
    <row r="56" spans="2:10" x14ac:dyDescent="0.2">
      <c r="B56" s="56"/>
      <c r="C56" s="90"/>
      <c r="D56" s="91"/>
      <c r="E56" s="86"/>
      <c r="F56" s="86"/>
      <c r="G56" s="86"/>
      <c r="H56" s="87"/>
      <c r="I56" s="86"/>
      <c r="J56" s="88"/>
    </row>
    <row r="57" spans="2:10" x14ac:dyDescent="0.2">
      <c r="B57" s="56" t="s">
        <v>57</v>
      </c>
      <c r="C57" s="99">
        <f>SUM(C48:C55)</f>
        <v>24000000</v>
      </c>
      <c r="D57" s="99"/>
      <c r="E57" s="86"/>
      <c r="F57" s="86"/>
      <c r="G57" s="86"/>
      <c r="H57" s="87"/>
      <c r="I57" s="86"/>
      <c r="J57" s="88"/>
    </row>
    <row r="58" spans="2:10" ht="16" thickBot="1" x14ac:dyDescent="0.25">
      <c r="B58" s="56" t="s">
        <v>61</v>
      </c>
      <c r="C58" s="100">
        <f>(IF(ISNUMBER(F35),F35,0)
+IF(ISNUMBER(F36),F36,0)
+IF(ISNUMBER(F37),F37,0)
+IF(ISNUMBER(F38),F38,0)
+IF(ISNUMBER(F39),F39,0)
+IF(ISNUMBER(F40),F40,0)
+IF(ISNUMBER(F41),F41,0)
+IF(ISNUMBER(F42),F42,0))</f>
        <v>120000</v>
      </c>
      <c r="D58" s="101"/>
      <c r="E58" s="77" t="str">
        <f>IF(ISNUMBER(F35),F35 &amp; IF(ISNUMBER(F36)," + ", ""), "")
&amp;IF(ISNUMBER(F36),F36 &amp; IF(ISNUMBER(F37)," + ", ""), "")
&amp;IF(ISNUMBER(F37),F37 &amp; IF(ISNUMBER(F38)," + ", ""), "")
&amp;IF(ISNUMBER(F38),F38 &amp; IF(ISNUMBER(F39)," + ", ""), "")
&amp;IF(ISNUMBER(F39),F39 &amp; IF(ISNUMBER(F40)," + ", ""), "")
&amp;IF(ISNUMBER(F40),F40 &amp; IF(ISNUMBER(F41)," + ", ""), "")
&amp;IF(ISNUMBER(F41),F41 &amp; IF(ISNUMBER(F42)," + ", ""), "")
&amp;IF(ISNUMBER(F42),F42, "")</f>
        <v>20000 + 20000 + 20000 + 20000 + 40000</v>
      </c>
      <c r="F58" s="78"/>
      <c r="G58" s="78"/>
      <c r="H58" s="78"/>
      <c r="I58" s="78"/>
      <c r="J58" s="89"/>
    </row>
    <row r="59" spans="2:10" ht="17" thickBot="1" x14ac:dyDescent="0.25">
      <c r="B59" s="66" t="s">
        <v>24</v>
      </c>
      <c r="C59" s="98">
        <f>C57/C58</f>
        <v>200</v>
      </c>
      <c r="D59" s="98"/>
      <c r="E59" s="79" t="str">
        <f>IF(AND(ISNUMBER(F35), ISNUMBER(E35), ISNUMBER(D35)), F35 &amp; " * ((" &amp; E35 &amp; " / 2) + " &amp; D35 &amp; ")", "")
&amp; IF(AND(ISNUMBER(F36), ISNUMBER(E36), ISNUMBER(D36)),
    IF(ISNUMBER(F35), " + ", "") &amp; F36 &amp; " * ((" &amp; E36 &amp; " / 2) + " &amp; D36 &amp; ")", "")
&amp; IF(AND(ISNUMBER(F37), ISNUMBER(E37), ISNUMBER(D37)),
    IF(OR(ISNUMBER(F35), ISNUMBER(F36)), " + ", "") &amp; F37 &amp; " * ((" &amp; E37 &amp; " / 2) + " &amp; D37 &amp; ")", "")
&amp; IF(AND(ISNUMBER(F38), ISNUMBER(E38), ISNUMBER(D38)),
    IF(OR(ISNUMBER(F35), ISNUMBER(F36), ISNUMBER(F37)), " + ", "") &amp; F38 &amp; " * ((" &amp; E38 &amp; " / 2) + " &amp; D38 &amp; ")", "")
&amp; IF(AND(ISNUMBER(F39), ISNUMBER(E39), ISNUMBER(D39)),
    IF(OR(ISNUMBER(F35), ISNUMBER(F36), ISNUMBER(F37), ISNUMBER(F38)), " + ", "") &amp; F39 &amp; " * ((" &amp; E39 &amp; " / 2) + " &amp; D39 &amp; ")", "")
&amp; IF(AND(ISNUMBER(F40), ISNUMBER(E40), ISNUMBER(D40)),
    IF(OR(ISNUMBER(F35), ISNUMBER(F36), ISNUMBER(F37), ISNUMBER(F38), ISNUMBER(F39)), " + ", "") &amp; F40 &amp; " * ((" &amp; E40 &amp; " / 2) + " &amp; D40 &amp; ")", "")
&amp; IF(AND(ISNUMBER(F41), ISNUMBER(E41), ISNUMBER(D41)),
    IF(OR(ISNUMBER(F35), ISNUMBER(F36), ISNUMBER(F37), ISNUMBER(F38), ISNUMBER(F39), ISNUMBER(F40)), " + ", "") &amp; F41 &amp; " * ((" &amp; E41 &amp; " / 2) + " &amp; D41 &amp; ")", "")
&amp; IF(AND(ISNUMBER(F42), ISNUMBER(E42), ISNUMBER(D42)),
    IF(OR(ISNUMBER(F35), ISNUMBER(F36), ISNUMBER(F37), ISNUMBER(F38), ISNUMBER(F39), ISNUMBER(F40), ISNUMBER(F41)), " + ", "") &amp; F42 &amp; " * ((" &amp; E42 &amp; " / 2) + " &amp; D42 &amp; ")", "")
&amp; " / ("
&amp; IF(ISNUMBER(F35),F35 &amp; IF(ISNUMBER(F36)," + ", ""), "")
&amp;IF(ISNUMBER(F36),F36 &amp; IF(ISNUMBER(F37)," + ", ""), "")
&amp;IF(ISNUMBER(F37),F37 &amp; IF(ISNUMBER(F38)," + ", ""), "")
&amp;IF(ISNUMBER(F38),F38 &amp; IF(ISNUMBER(F39)," + ", ""), "")
&amp;IF(ISNUMBER(F39),F39 &amp; IF(ISNUMBER(F40)," + ", ""), "")
&amp;IF(ISNUMBER(F40),F40 &amp; IF(ISNUMBER(F41)," + ", ""), "")
&amp;IF(ISNUMBER(F41),F41 &amp; IF(ISNUMBER(F42)," + ", ""), "")
&amp;IF(ISNUMBER(F42),F42,)
&amp; ")"</f>
        <v>20000 * ((100 / 2) + 0) + 20000 * ((100 / 2) + 0) + 20000 * ((200 / 2) + 100) + 20000 * ((200 / 2) + 100) + 40000 * ((100 / 2) + 300) / (20000 + 20000 + 20000 + 20000 + 40000)</v>
      </c>
      <c r="F59" s="80"/>
      <c r="G59" s="80"/>
      <c r="H59" s="80"/>
      <c r="I59" s="80"/>
      <c r="J59" s="81"/>
    </row>
    <row r="60" spans="2:10" ht="16" thickBot="1" x14ac:dyDescent="0.25">
      <c r="B60" s="30" t="s">
        <v>58</v>
      </c>
      <c r="C60" s="31"/>
      <c r="D60" s="31"/>
      <c r="E60" s="31"/>
      <c r="F60" s="31"/>
      <c r="G60" s="31"/>
      <c r="H60" s="31"/>
      <c r="I60" s="31"/>
      <c r="J60" s="32"/>
    </row>
    <row r="61" spans="2:10" x14ac:dyDescent="0.2">
      <c r="B61" s="22" t="s">
        <v>0</v>
      </c>
      <c r="C61" s="47" t="s">
        <v>60</v>
      </c>
      <c r="D61" s="47"/>
      <c r="E61" s="40" t="s">
        <v>32</v>
      </c>
      <c r="F61" s="40"/>
      <c r="G61" s="40"/>
      <c r="H61" s="40"/>
      <c r="I61" s="40"/>
      <c r="J61" s="42"/>
    </row>
    <row r="62" spans="2:10" ht="16" thickBot="1" x14ac:dyDescent="0.25">
      <c r="B62" s="23"/>
      <c r="C62" s="54"/>
      <c r="D62" s="54"/>
      <c r="E62" s="41"/>
      <c r="F62" s="41"/>
      <c r="G62" s="41"/>
      <c r="H62" s="41"/>
      <c r="I62" s="41"/>
      <c r="J62" s="43"/>
    </row>
    <row r="63" spans="2:10" ht="16" x14ac:dyDescent="0.2">
      <c r="B63" s="56" t="s">
        <v>3</v>
      </c>
      <c r="C63" s="82">
        <f>(IF(AND(ISNUMBER(F35),ISNUMBER(C35),ISNUMBER(B35)),(F35*((C35/2)+B35)),""))</f>
        <v>2000000</v>
      </c>
      <c r="D63" s="82"/>
      <c r="E63" s="73" t="str">
        <f>IF(AND(ISNUMBER(F35), ISNUMBER(C35), ISNUMBER(B35)),
    F35 &amp; " * ((" &amp; C35 &amp; " / 2) + " &amp; B35 &amp; ")",
    ""
)</f>
        <v>20000 * ((200 / 2) + 0)</v>
      </c>
      <c r="F63" s="74"/>
      <c r="G63" s="74"/>
      <c r="H63" s="74"/>
      <c r="I63" s="74"/>
      <c r="J63" s="83"/>
    </row>
    <row r="64" spans="2:10" ht="16" x14ac:dyDescent="0.2">
      <c r="B64" s="56" t="s">
        <v>4</v>
      </c>
      <c r="C64" s="82">
        <f>IF(AND(ISNUMBER(F36), ISNUMBER(C36), ISNUMBER(B36)), (F36*((C36/2)+B36)), "")</f>
        <v>10000000</v>
      </c>
      <c r="D64" s="82"/>
      <c r="E64" s="75" t="str">
        <f>IF(AND(ISNUMBER(F36), ISNUMBER(C36), ISNUMBER(B36)),
    " + " &amp; F36 &amp; " * ((" &amp; C36 &amp; " / 2) + " &amp; B36 &amp; ")",
    ""
)</f>
        <v xml:space="preserve"> + 20000 * ((200 / 2) + 400)</v>
      </c>
      <c r="F64" s="76"/>
      <c r="G64" s="76"/>
      <c r="H64" s="76"/>
      <c r="I64" s="76"/>
      <c r="J64" s="84"/>
    </row>
    <row r="65" spans="1:16" ht="16" x14ac:dyDescent="0.2">
      <c r="B65" s="56" t="s">
        <v>5</v>
      </c>
      <c r="C65" s="82">
        <f>IF(AND(ISNUMBER(F37), ISNUMBER(C37), ISNUMBER(B37)), (F37*((C37/2)+B37)), "")</f>
        <v>3000000</v>
      </c>
      <c r="D65" s="82"/>
      <c r="E65" s="75" t="str">
        <f>IF(AND(ISNUMBER(F37), ISNUMBER(C37), ISNUMBER(B37)),
    " + " &amp; F37 &amp; " * ((" &amp; C37 &amp; " / 2) + " &amp; B37 &amp; ")",
    ""
)</f>
        <v xml:space="preserve"> + 20000 * ((100 / 2) + 100)</v>
      </c>
      <c r="F65" s="76"/>
      <c r="G65" s="76"/>
      <c r="H65" s="76"/>
      <c r="I65" s="76"/>
      <c r="J65" s="84"/>
    </row>
    <row r="66" spans="1:16" ht="16" x14ac:dyDescent="0.2">
      <c r="B66" s="56" t="s">
        <v>6</v>
      </c>
      <c r="C66" s="82">
        <f>IF(AND(ISNUMBER(F38), ISNUMBER(C38), ISNUMBER(B38)), (F38*((C38/2)+B38)), "")</f>
        <v>9000000</v>
      </c>
      <c r="D66" s="82"/>
      <c r="E66" s="75" t="str">
        <f>IF(AND(ISNUMBER(F38), ISNUMBER(C38), ISNUMBER(B38)),
    " + " &amp; F38 &amp; " * ((" &amp; C38 &amp; " / 2) + " &amp; B38 &amp; ")",
    ""
)</f>
        <v xml:space="preserve"> + 20000 * ((100 / 2) + 400)</v>
      </c>
      <c r="F66" s="76"/>
      <c r="G66" s="76"/>
      <c r="H66" s="76"/>
      <c r="I66" s="76"/>
      <c r="J66" s="84"/>
    </row>
    <row r="67" spans="1:16" ht="16" x14ac:dyDescent="0.2">
      <c r="B67" s="56" t="s">
        <v>7</v>
      </c>
      <c r="C67" s="82">
        <f>IF(AND(ISNUMBER(F39), ISNUMBER(C39), ISNUMBER(B39)), (F39*((C39/2)+B39)), "")</f>
        <v>12000000</v>
      </c>
      <c r="D67" s="82"/>
      <c r="E67" s="75" t="str">
        <f>IF(AND(ISNUMBER(F39), ISNUMBER(C39), ISNUMBER(B39)),
    " + " &amp; F39 &amp; " * ((" &amp; C39 &amp; " / 2) + " &amp; B39 &amp; ")",
    ""
)</f>
        <v xml:space="preserve"> + 40000 * ((400 / 2) + 100)</v>
      </c>
      <c r="F67" s="76"/>
      <c r="G67" s="76"/>
      <c r="H67" s="76"/>
      <c r="I67" s="76"/>
      <c r="J67" s="84"/>
    </row>
    <row r="68" spans="1:16" ht="16" x14ac:dyDescent="0.2">
      <c r="B68" s="56" t="s">
        <v>26</v>
      </c>
      <c r="C68" s="82" t="str">
        <f>IF(AND(ISNUMBER(F40), ISNUMBER(C40), ISNUMBER(B40)), (F40*((C40/2)+B40)), "")</f>
        <v/>
      </c>
      <c r="D68" s="82"/>
      <c r="E68" s="75" t="str">
        <f>IF(AND(ISNUMBER(F40), ISNUMBER(C40), ISNUMBER(B40)),
    " + " &amp; F40 &amp; " * ((" &amp; C40 &amp; " / 2) + " &amp; B40 &amp; ")",
    ""
)</f>
        <v/>
      </c>
      <c r="F68" s="76"/>
      <c r="G68" s="76"/>
      <c r="H68" s="76"/>
      <c r="I68" s="76"/>
      <c r="J68" s="84"/>
    </row>
    <row r="69" spans="1:16" ht="16" x14ac:dyDescent="0.2">
      <c r="B69" s="56" t="s">
        <v>27</v>
      </c>
      <c r="C69" s="82" t="str">
        <f>IF(AND(ISNUMBER(F41), ISNUMBER(C41), ISNUMBER(B41)), (F41*((C41/2)+B41)), "")</f>
        <v/>
      </c>
      <c r="D69" s="82"/>
      <c r="E69" s="75" t="str">
        <f>IF(AND(ISNUMBER(F41), ISNUMBER(C41), ISNUMBER(B41)),
    " + " &amp; F41 &amp; " * ((" &amp; C41 &amp; " / 2) + " &amp; B41 &amp; ")",
    ""
)</f>
        <v/>
      </c>
      <c r="F69" s="76"/>
      <c r="G69" s="76"/>
      <c r="H69" s="76"/>
      <c r="I69" s="76"/>
      <c r="J69" s="84"/>
    </row>
    <row r="70" spans="1:16" ht="16" x14ac:dyDescent="0.2">
      <c r="B70" s="56" t="s">
        <v>28</v>
      </c>
      <c r="C70" s="82" t="str">
        <f>IF(AND(ISNUMBER(F42),ISNUMBER(C42),ISNUMBER(B42)),(F42*((C42/2)+B42)),"")</f>
        <v/>
      </c>
      <c r="D70" s="82"/>
      <c r="E70" s="75" t="str">
        <f>IF(AND(ISNUMBER(F42), ISNUMBER(C42), ISNUMBER(B42)),
    " + " &amp; F42 &amp; " * ((" &amp; C42 &amp; " / 2) + " &amp; B42 &amp; ")",
    ""
)</f>
        <v/>
      </c>
      <c r="F70" s="76"/>
      <c r="G70" s="76"/>
      <c r="H70" s="76"/>
      <c r="I70" s="76"/>
      <c r="J70" s="84"/>
    </row>
    <row r="71" spans="1:16" x14ac:dyDescent="0.2">
      <c r="B71" s="56"/>
      <c r="C71" s="85"/>
      <c r="D71" s="86"/>
      <c r="E71" s="86"/>
      <c r="F71" s="86"/>
      <c r="G71" s="86"/>
      <c r="H71" s="87"/>
      <c r="I71" s="86"/>
      <c r="J71" s="88"/>
    </row>
    <row r="72" spans="1:16" x14ac:dyDescent="0.2">
      <c r="B72" s="56" t="s">
        <v>57</v>
      </c>
      <c r="C72" s="99">
        <f>SUM(C63:C70)</f>
        <v>36000000</v>
      </c>
      <c r="D72" s="99"/>
      <c r="E72" s="86"/>
      <c r="F72" s="86"/>
      <c r="G72" s="86"/>
      <c r="H72" s="87"/>
      <c r="I72" s="86"/>
      <c r="J72" s="88"/>
    </row>
    <row r="73" spans="1:16" ht="16" thickBot="1" x14ac:dyDescent="0.25">
      <c r="B73" s="56" t="s">
        <v>61</v>
      </c>
      <c r="C73" s="100">
        <f>(IF(ISNUMBER(F35), F35, 0)
+ IF(ISNUMBER(F36), F36, 0)
+ IF(ISNUMBER(F37), F37, 0)
+ IF(ISNUMBER(F38), F38, 0)
+ IF(ISNUMBER(F39), F39, 0)
+ IF(ISNUMBER(F40), F40, 0)
+ IF(ISNUMBER(F41), F41, 0)
+ IF(ISNUMBER(F42), F42, 0))</f>
        <v>120000</v>
      </c>
      <c r="D73" s="101"/>
      <c r="E73" s="102" t="str">
        <f>IF(ISNUMBER(F35), F35 &amp; IF(ISNUMBER(F36), " + ", ""), "")
&amp; IF(ISNUMBER(F36), F36 &amp; IF(ISNUMBER(F37), " + ", ""), "")
&amp; IF(ISNUMBER(F37), F37 &amp; IF(ISNUMBER(F38), " + ", ""), "")
&amp; IF(ISNUMBER(F38), F38 &amp; IF(ISNUMBER(F39), " + ", ""), "")
&amp; IF(ISNUMBER(F39), F39 &amp; IF(ISNUMBER(F40), " + ", ""), "")
&amp; IF(ISNUMBER(F40), F40 &amp; IF(ISNUMBER(F41), " + ", ""), "")
&amp; IF(ISNUMBER(F41), F41 &amp; IF(ISNUMBER(F42), " + ", ""), "")
&amp; IF(ISNUMBER(F42), F42, "")</f>
        <v>20000 + 20000 + 20000 + 20000 + 40000</v>
      </c>
      <c r="F73" s="78"/>
      <c r="G73" s="78"/>
      <c r="H73" s="78"/>
      <c r="I73" s="78"/>
      <c r="J73" s="89"/>
    </row>
    <row r="74" spans="1:16" ht="17" thickBot="1" x14ac:dyDescent="0.25">
      <c r="B74" s="66" t="s">
        <v>25</v>
      </c>
      <c r="C74" s="98">
        <f>C72/C73</f>
        <v>300</v>
      </c>
      <c r="D74" s="98"/>
      <c r="E74" s="79" t="str">
        <f>IF(AND(ISNUMBER(F35), ISNUMBER(C35), ISNUMBER(B35)),
    F35 &amp; " * ((" &amp; C35 &amp; " / 2) + " &amp; B35 &amp; ")",
    ""
)
&amp; IF(AND(ISNUMBER(F36), ISNUMBER(C36), ISNUMBER(B36)),
    " + " &amp; F36 &amp; " * ((" &amp; C36 &amp; " / 2) + " &amp; B36 &amp; ")",
    ""
)
&amp; IF(AND(ISNUMBER(F37), ISNUMBER(C37), ISNUMBER(B37)),
    " + " &amp; F37 &amp; " * ((" &amp; C37 &amp; " / 2) + " &amp; B37 &amp; ")",
    ""
)
&amp; IF(AND(ISNUMBER(F38), ISNUMBER(C38), ISNUMBER(B38)),
    " + " &amp; F38 &amp; " * ((" &amp; C38 &amp; " / 2) + " &amp; B38 &amp; ")",
    ""
)
&amp; IF(AND(ISNUMBER(F39), ISNUMBER(C39), ISNUMBER(B39)),
    " + " &amp; F39 &amp; " * ((" &amp; C39 &amp; " / 2) + " &amp; B39 &amp; ")",
    ""
)
&amp; IF(AND(ISNUMBER(F40), ISNUMBER(C40), ISNUMBER(B40)),
    " + " &amp; F40 &amp; " * ((" &amp; C40 &amp; " / 2) + " &amp; B40 &amp; ")",
    ""
)
&amp; IF(AND(ISNUMBER(F41), ISNUMBER(C41), ISNUMBER(B41)),
    " + " &amp; F41 &amp; " * ((" &amp; C41 &amp; " / 2) + " &amp; B41 &amp; ")",
    ""
)
&amp; IF(AND(ISNUMBER(F42), ISNUMBER(C42), ISNUMBER(B42)),
    " + " &amp; F42 &amp; " * ((" &amp; C42 &amp; " / 2) + " &amp; B42 &amp; ")",
    ""
)
&amp; " / ("
&amp; IF(ISNUMBER(F35), F35 &amp; IF(ISNUMBER(F36), " + ", ""), "")
&amp; IF(ISNUMBER(F36), F36 &amp; IF(ISNUMBER(F37), " + ", ""), "")
&amp; IF(ISNUMBER(F37), F37 &amp; IF(ISNUMBER(F38), " + ", ""), "")
&amp; IF(ISNUMBER(F38), F38 &amp; IF(ISNUMBER(F39), " + ", ""), "")
&amp; IF(ISNUMBER(F39), F39 &amp; IF(ISNUMBER(F40), " + ", ""), "")
&amp; IF(ISNUMBER(F40), F40 &amp; IF(ISNUMBER(F41), " + ", ""), "")
&amp; IF(ISNUMBER(F41), F41 &amp; IF(ISNUMBER(F42), " + ", ""), "")
&amp; IF(ISNUMBER(F42), F42, "")
&amp; ")"</f>
        <v>20000 * ((200 / 2) + 0) + 20000 * ((200 / 2) + 400) + 20000 * ((100 / 2) + 100) + 20000 * ((100 / 2) + 400) + 40000 * ((400 / 2) + 100) / (20000 + 20000 + 20000 + 20000 + 40000)</v>
      </c>
      <c r="F74" s="80"/>
      <c r="G74" s="80"/>
      <c r="H74" s="80"/>
      <c r="I74" s="80"/>
      <c r="J74" s="81"/>
    </row>
    <row r="75" spans="1:16" ht="16" thickBot="1" x14ac:dyDescent="0.25">
      <c r="D75" s="8"/>
      <c r="E75" s="8"/>
      <c r="F75" s="8"/>
      <c r="G75" s="8"/>
      <c r="H75" s="13"/>
      <c r="I75" s="8"/>
      <c r="J75" s="8"/>
    </row>
    <row r="76" spans="1:16" ht="20" thickBot="1" x14ac:dyDescent="0.3">
      <c r="A76" s="33" t="s">
        <v>30</v>
      </c>
      <c r="B76" s="34"/>
      <c r="C76" s="34"/>
      <c r="D76" s="34"/>
      <c r="E76" s="34"/>
      <c r="F76" s="34"/>
      <c r="G76" s="34"/>
      <c r="H76" s="34"/>
      <c r="I76" s="34"/>
      <c r="J76" s="35"/>
    </row>
    <row r="77" spans="1:16" ht="16" thickBot="1" x14ac:dyDescent="0.25">
      <c r="B77" s="30" t="s">
        <v>45</v>
      </c>
      <c r="C77" s="31"/>
      <c r="D77" s="31"/>
      <c r="E77" s="31"/>
      <c r="F77" s="31"/>
      <c r="G77" s="31"/>
      <c r="H77" s="31"/>
      <c r="I77" s="31"/>
      <c r="J77" s="32"/>
      <c r="K77" s="8"/>
      <c r="L77" s="8"/>
      <c r="M77" s="8"/>
      <c r="N77" s="8"/>
      <c r="O77" s="8"/>
      <c r="P77" s="8"/>
    </row>
    <row r="78" spans="1:16" x14ac:dyDescent="0.2">
      <c r="B78" s="22" t="s">
        <v>0</v>
      </c>
      <c r="C78" s="49" t="s">
        <v>41</v>
      </c>
      <c r="D78" s="49"/>
      <c r="E78" s="40" t="s">
        <v>20</v>
      </c>
      <c r="F78" s="40"/>
      <c r="G78" s="40" t="s">
        <v>32</v>
      </c>
      <c r="H78" s="40"/>
      <c r="I78" s="40"/>
      <c r="J78" s="42"/>
      <c r="K78" s="8"/>
      <c r="L78" s="8"/>
      <c r="M78" s="8"/>
      <c r="N78" s="8"/>
      <c r="O78" s="8"/>
      <c r="P78" s="8"/>
    </row>
    <row r="79" spans="1:16" ht="16" thickBot="1" x14ac:dyDescent="0.25">
      <c r="B79" s="23"/>
      <c r="C79" s="50"/>
      <c r="D79" s="50"/>
      <c r="E79" s="41"/>
      <c r="F79" s="41"/>
      <c r="G79" s="41"/>
      <c r="H79" s="41"/>
      <c r="I79" s="41"/>
      <c r="J79" s="43"/>
      <c r="K79" s="8" t="s">
        <v>8</v>
      </c>
      <c r="L79" s="8" t="s">
        <v>9</v>
      </c>
      <c r="M79" s="8" t="s">
        <v>10</v>
      </c>
      <c r="N79" s="8" t="s">
        <v>11</v>
      </c>
      <c r="O79" s="8" t="s">
        <v>12</v>
      </c>
      <c r="P79" s="8"/>
    </row>
    <row r="80" spans="1:16" ht="16" x14ac:dyDescent="0.2">
      <c r="B80" s="56" t="s">
        <v>3</v>
      </c>
      <c r="C80" s="92">
        <f>IF(OR(ISBLANK(E35), ISBLANK(D35), ISBLANK(C59)), "", ABS(((E35/2) + D35) -C59))</f>
        <v>150</v>
      </c>
      <c r="D80" s="92"/>
      <c r="E80" s="92">
        <f>IF(OR(ISBLANK(C35), ISBLANK(E35), ISBLANK(F35), ISBLANK(C80)), "", IF(C80=0, C35*E35^3*1/12, C35*E35^3*1/12 + F35*C80^2))</f>
        <v>466666666.66666669</v>
      </c>
      <c r="F80" s="92"/>
      <c r="G80" s="26" t="str">
        <f>IF(OR(ISBLANK(C35), ISBLANK(E35), ISBLANK(F35), ISBLANK(C80)), "",
    IF(C80=0,
    "(" &amp; C35 &amp; " * " &amp; E35 &amp; "³ * (1/12)) = " &amp; ROUND(C35*E35^3*(1/12), 1),
    "(" &amp; C35 &amp; " * " &amp; E35 &amp; "³ * (1/12)) + (" &amp; F35 &amp; " * " &amp; C80 &amp; "²) = " &amp; ROUND((C35*E35^3*(1/12)) + (F35*C80^2), 1)
    )
)</f>
        <v>(200 * 100³ * (1/12)) + (20000 * 150²) = 466666666.7</v>
      </c>
      <c r="H80" s="26"/>
      <c r="I80" s="26"/>
      <c r="J80" s="27"/>
      <c r="K80" s="8">
        <f>B35</f>
        <v>0</v>
      </c>
      <c r="L80" s="8">
        <f>B35+C35</f>
        <v>200</v>
      </c>
      <c r="M80" s="8">
        <f>B35+C35</f>
        <v>200</v>
      </c>
      <c r="N80" s="8">
        <f>B35</f>
        <v>0</v>
      </c>
      <c r="O80" s="8">
        <f>B35</f>
        <v>0</v>
      </c>
      <c r="P80" s="8"/>
    </row>
    <row r="81" spans="2:16" ht="16" x14ac:dyDescent="0.2">
      <c r="B81" s="56" t="s">
        <v>4</v>
      </c>
      <c r="C81" s="93">
        <f>IF(OR(ISBLANK(E36), ISBLANK(D36), ISBLANK(C59)), "", ABS(((E36/2) + D36) -C59))</f>
        <v>150</v>
      </c>
      <c r="D81" s="93"/>
      <c r="E81" s="93">
        <f>IF(OR(ISBLANK(C36), ISBLANK(E36), ISBLANK(F36), ISBLANK(C81)), "", IF(C81=0, C36*E36^3*1/12, C36*E36^3*1/12 + F36*C81^2))</f>
        <v>466666666.66666669</v>
      </c>
      <c r="F81" s="93"/>
      <c r="G81" s="28" t="str">
        <f>IF(OR(ISBLANK(C36), ISBLANK(E36), ISBLANK(F36), ISBLANK(C81)), "",
    IF(C81=0,
    "(" &amp; C36 &amp; " * " &amp; E36 &amp; "³ * (1/12)) = " &amp; ROUND(C36*E36^3*(1/12), 1),
    "(" &amp; C36 &amp; " * " &amp; E36 &amp; "³ * (1/12)) + (" &amp; F36 &amp; " * " &amp; C81 &amp; "²) = " &amp; ROUND((C36*E36^3*(1/12)) + (F36*C81^2), 1)
    )
)</f>
        <v>(200 * 100³ * (1/12)) + (20000 * 150²) = 466666666.7</v>
      </c>
      <c r="H81" s="28"/>
      <c r="I81" s="28"/>
      <c r="J81" s="29"/>
      <c r="K81" s="8">
        <f>B36</f>
        <v>400</v>
      </c>
      <c r="L81" s="19">
        <f>B36+C36</f>
        <v>600</v>
      </c>
      <c r="M81" s="19">
        <f>B36+C36</f>
        <v>600</v>
      </c>
      <c r="N81" s="19">
        <f>B36</f>
        <v>400</v>
      </c>
      <c r="O81" s="19">
        <f>B36</f>
        <v>400</v>
      </c>
      <c r="P81" s="8"/>
    </row>
    <row r="82" spans="2:16" ht="16" x14ac:dyDescent="0.2">
      <c r="B82" s="56" t="s">
        <v>5</v>
      </c>
      <c r="C82" s="93">
        <f>IF(OR(ISBLANK(E37), ISBLANK(D37), ISBLANK(C59)), "", ABS(((E37/2) + D37) -C59))</f>
        <v>0</v>
      </c>
      <c r="D82" s="93"/>
      <c r="E82" s="93">
        <f>IF(OR(ISBLANK(C37), ISBLANK(E37), ISBLANK(F37), ISBLANK(C82)), "", IF(C82=0, C37*E37^3*1/12, C37*E37^3*1/12 + F37*C82^2))</f>
        <v>66666666.666666664</v>
      </c>
      <c r="F82" s="93"/>
      <c r="G82" s="28" t="str">
        <f>IF(OR(ISBLANK(C37), ISBLANK(E37), ISBLANK(F37), ISBLANK(C82)), "",
    IF(C82=0,
    "(" &amp; C37 &amp; " * " &amp; E37 &amp; "³ * (1/12)) = " &amp; ROUND(C37*E37^3*(1/12), 1),
    "(" &amp; C37 &amp; " * " &amp; E37 &amp; "³ * (1/12)) + (" &amp; F37 &amp; " * " &amp; C82 &amp; "²) = " &amp; ROUND((C37*E37^3*(1/12)) + (F37*C82^2), 1)
    )
)</f>
        <v>(100 * 200³ * (1/12)) = 66666666.7</v>
      </c>
      <c r="H82" s="28"/>
      <c r="I82" s="28"/>
      <c r="J82" s="29"/>
      <c r="K82" s="8">
        <f>B37</f>
        <v>100</v>
      </c>
      <c r="L82" s="19">
        <f>B37+C37</f>
        <v>200</v>
      </c>
      <c r="M82" s="19">
        <f>B37+C37</f>
        <v>200</v>
      </c>
      <c r="N82" s="19">
        <f>B37</f>
        <v>100</v>
      </c>
      <c r="O82" s="19">
        <f>B37</f>
        <v>100</v>
      </c>
      <c r="P82" s="8"/>
    </row>
    <row r="83" spans="2:16" ht="16" x14ac:dyDescent="0.2">
      <c r="B83" s="56" t="s">
        <v>6</v>
      </c>
      <c r="C83" s="93">
        <f>IF(OR(ISBLANK(E38), ISBLANK(D38), ISBLANK(C59)), "", ABS(((E38/2) + D38) -C59))</f>
        <v>0</v>
      </c>
      <c r="D83" s="93"/>
      <c r="E83" s="93">
        <f>IF(OR(ISBLANK(C38), ISBLANK(E38), ISBLANK(F38), ISBLANK(C83)), "", IF(C83=0, C38*E38^3*1/12, C38*E38^3*1/12 + F38*C83^2))</f>
        <v>66666666.666666664</v>
      </c>
      <c r="F83" s="93"/>
      <c r="G83" s="28" t="str">
        <f>IF(OR(ISBLANK(C38), ISBLANK(E38), ISBLANK(F38), ISBLANK(C83)), "",
    IF(C83=0,
    "(" &amp; C38 &amp; " * " &amp; E38 &amp; "³ * (1/12)) = " &amp; ROUND(C38*E38^3*(1/12), 1),
    "(" &amp; C38 &amp; " * " &amp; E38 &amp; "³ * (1/12)) + (" &amp; F38 &amp; " * " &amp; C83 &amp; "²) = " &amp; ROUND((C38*E38^3*(1/12)) + (F38*C83^2), 1)
    )
)</f>
        <v>(100 * 200³ * (1/12)) = 66666666.7</v>
      </c>
      <c r="H83" s="28"/>
      <c r="I83" s="28"/>
      <c r="J83" s="29"/>
      <c r="K83" s="8">
        <f>B38</f>
        <v>400</v>
      </c>
      <c r="L83" s="19">
        <f>B38+C38</f>
        <v>500</v>
      </c>
      <c r="M83" s="19">
        <f>B38+C38</f>
        <v>500</v>
      </c>
      <c r="N83" s="19">
        <f>B38</f>
        <v>400</v>
      </c>
      <c r="O83" s="19">
        <f>B38</f>
        <v>400</v>
      </c>
      <c r="P83" s="8"/>
    </row>
    <row r="84" spans="2:16" ht="16" x14ac:dyDescent="0.2">
      <c r="B84" s="56" t="s">
        <v>7</v>
      </c>
      <c r="C84" s="93">
        <f>IF(OR(ISBLANK(E39), ISBLANK(D39), ISBLANK(C59)), "", ABS(((E39/2) + D39) -C59))</f>
        <v>150</v>
      </c>
      <c r="D84" s="93"/>
      <c r="E84" s="93">
        <f>IF(OR(ISBLANK(C39), ISBLANK(E39), ISBLANK(F39), ISBLANK(C84)), "", IF(C84=0, C39*E39^3*1/12, C39*E39^3*1/12 + F39*C84^2))</f>
        <v>933333333.33333337</v>
      </c>
      <c r="F84" s="93"/>
      <c r="G84" s="28" t="str">
        <f>IF(OR(ISBLANK(C39), ISBLANK(E39), ISBLANK(F39), ISBLANK(C84)), "",
    IF(C84=0,
    "(" &amp; C39 &amp; " * " &amp; E39 &amp; "³ * (1/12)) = " &amp; ROUND(C39*E39^3*(1/12), 1),
    "(" &amp; C39 &amp; " * " &amp; E39 &amp; "³ * (1/12)) + (" &amp; F39 &amp; " * " &amp; C84 &amp; "²) = " &amp; ROUND((C39*E39^3*(1/12)) + (F39*C84^2), 1)
    )
)</f>
        <v>(400 * 100³ * (1/12)) + (40000 * 150²) = 933333333.3</v>
      </c>
      <c r="H84" s="28"/>
      <c r="I84" s="28"/>
      <c r="J84" s="29"/>
      <c r="K84" s="19">
        <f>B39</f>
        <v>100</v>
      </c>
      <c r="L84" s="19">
        <f>B39+C39</f>
        <v>500</v>
      </c>
      <c r="M84" s="19">
        <f>B39+C39</f>
        <v>500</v>
      </c>
      <c r="N84" s="19">
        <f>B39</f>
        <v>100</v>
      </c>
      <c r="O84" s="19">
        <f>B39</f>
        <v>100</v>
      </c>
      <c r="P84" s="8"/>
    </row>
    <row r="85" spans="2:16" ht="16" x14ac:dyDescent="0.2">
      <c r="B85" s="56" t="s">
        <v>26</v>
      </c>
      <c r="C85" s="93" t="str">
        <f>IF(OR(ISBLANK(E40), ISBLANK(D40), ISBLANK(C59)), "", ABS(((E40/2) + D40) -C59))</f>
        <v/>
      </c>
      <c r="D85" s="93"/>
      <c r="E85" s="93" t="str">
        <f>IF(OR(ISBLANK(C40), ISBLANK(E40), ISBLANK(F40), ISBLANK(C85)), "", IF(C85=0, C40*E40^3*1/12, C40*E40^3*1/12 + F40*C85^2))</f>
        <v/>
      </c>
      <c r="F85" s="93"/>
      <c r="G85" s="28" t="str">
        <f>IF(OR(ISBLANK(C40), ISBLANK(E40), ISBLANK(F40), ISBLANK(C85)), "",
    IF(C85=0,
    "(" &amp; C40 &amp; " * " &amp; E40 &amp; "³ * (1/12)) = " &amp; ROUND(C40*E40^3*(1/12), 1),
    "(" &amp; C40 &amp; " * " &amp; E40 &amp; "³ * (1/12)) + (" &amp; F40 &amp; " * " &amp; C85 &amp; "²) = " &amp; ROUND((C40*E40^3*(1/12)) + (F40*C85^2), 1)
    )
)</f>
        <v/>
      </c>
      <c r="H85" s="28"/>
      <c r="I85" s="28"/>
      <c r="J85" s="29"/>
      <c r="K85" s="19">
        <f>B40</f>
        <v>0</v>
      </c>
      <c r="L85" s="19">
        <f>B40+C40</f>
        <v>0</v>
      </c>
      <c r="M85" s="19">
        <f>B40+C40</f>
        <v>0</v>
      </c>
      <c r="N85" s="19">
        <f>B40</f>
        <v>0</v>
      </c>
      <c r="O85" s="19">
        <f>B40</f>
        <v>0</v>
      </c>
      <c r="P85" s="8"/>
    </row>
    <row r="86" spans="2:16" ht="16" x14ac:dyDescent="0.2">
      <c r="B86" s="56" t="s">
        <v>27</v>
      </c>
      <c r="C86" s="93" t="str">
        <f>IF(OR(ISBLANK(E41), ISBLANK(D41), ISBLANK(C59)), "", ABS(((E41/2) + D41) -C59))</f>
        <v/>
      </c>
      <c r="D86" s="93"/>
      <c r="E86" s="93" t="str">
        <f>IF(OR(ISBLANK(C41), ISBLANK(E41), ISBLANK(F41), ISBLANK(C86)), "", IF(C86=0, C41*E41^3*1/12, C41*E41^3*1/12 + F41*C86^2))</f>
        <v/>
      </c>
      <c r="F86" s="93"/>
      <c r="G86" s="28" t="str">
        <f>IF(OR(ISBLANK(C41), ISBLANK(E41), ISBLANK(F41), ISBLANK(C86)), "",
    IF(C86=0,
    "(" &amp; C41 &amp; " * " &amp; E41 &amp; "³ * (1/12)) = " &amp; ROUND(C41*E41^3*(1/12), 1),
    "(" &amp; C41 &amp; " * " &amp; E41 &amp; "³ * (1/12)) + (" &amp; F41 &amp; " * " &amp; C86 &amp; "²) = " &amp; ROUND((C41*E41^3*(1/12)) + (F41*C86^2), 1)
    )
)</f>
        <v/>
      </c>
      <c r="H86" s="28"/>
      <c r="I86" s="28"/>
      <c r="J86" s="29"/>
      <c r="K86" s="19">
        <f>B41</f>
        <v>0</v>
      </c>
      <c r="L86" s="19">
        <f>B41+C41</f>
        <v>0</v>
      </c>
      <c r="M86" s="19">
        <f>B41+C41</f>
        <v>0</v>
      </c>
      <c r="N86" s="19">
        <f>B41</f>
        <v>0</v>
      </c>
      <c r="O86" s="19">
        <f>B41</f>
        <v>0</v>
      </c>
      <c r="P86" s="8"/>
    </row>
    <row r="87" spans="2:16" ht="17" thickBot="1" x14ac:dyDescent="0.25">
      <c r="B87" s="56" t="s">
        <v>28</v>
      </c>
      <c r="C87" s="94" t="str">
        <f>IF(OR(ISBLANK(E42), ISBLANK(D42), ISBLANK(C59)), "", ABS(((E42/2) + D42) -C59))</f>
        <v/>
      </c>
      <c r="D87" s="94"/>
      <c r="E87" s="94" t="str">
        <f>IF(OR(ISBLANK(C42), ISBLANK(E42), ISBLANK(F42), ISBLANK(C87)), "", IF(C87=0, C42*E42^3*1/12, C42*E42^3*1/12 + F42*C87^2))</f>
        <v/>
      </c>
      <c r="F87" s="94"/>
      <c r="G87" s="64" t="str">
        <f>IF(OR(ISBLANK(C42), ISBLANK(E42), ISBLANK(F42), ISBLANK(C87)), "",
    IF(C87=0,
    "(" &amp; C42 &amp; " * " &amp; E42 &amp; "³ * (1/12)) = " &amp; ROUND(C42*E42^3*(1/12), 1),
    "(" &amp; C42 &amp; " * " &amp; E42 &amp; "³ * (1/12)) + (" &amp; F42 &amp; " * " &amp; C87 &amp; "²) = " &amp; ROUND((C42*E42^3*(1/12)) + (F42*C87^2), 1)
    )
)</f>
        <v/>
      </c>
      <c r="H87" s="64"/>
      <c r="I87" s="64"/>
      <c r="J87" s="65"/>
      <c r="K87" s="19">
        <f>B42</f>
        <v>0</v>
      </c>
      <c r="L87" s="19">
        <f>B42+C42</f>
        <v>0</v>
      </c>
      <c r="M87" s="19">
        <f>B42+C42</f>
        <v>0</v>
      </c>
      <c r="N87" s="19">
        <f>B42</f>
        <v>0</v>
      </c>
      <c r="O87" s="19">
        <f>B42</f>
        <v>0</v>
      </c>
      <c r="P87" s="8"/>
    </row>
    <row r="88" spans="2:16" ht="17" thickBot="1" x14ac:dyDescent="0.25">
      <c r="B88" s="66" t="s">
        <v>57</v>
      </c>
      <c r="C88" s="67"/>
      <c r="D88" s="67"/>
      <c r="E88" s="96">
        <f>SUM(E80:E87)</f>
        <v>2000000000</v>
      </c>
      <c r="F88" s="96"/>
      <c r="G88" s="68" t="str">
        <f>"Iy = "&amp;(ROUND(E88/10^6,2))&amp;" * 10⁶"</f>
        <v>Iy = 2000 * 10⁶</v>
      </c>
      <c r="H88" s="69"/>
      <c r="I88" s="69"/>
      <c r="J88" s="70"/>
      <c r="K88" s="8"/>
      <c r="L88" s="8"/>
      <c r="M88" s="8"/>
      <c r="N88" s="8"/>
      <c r="O88" s="8"/>
      <c r="P88" s="8"/>
    </row>
    <row r="89" spans="2:16" ht="16" thickBot="1" x14ac:dyDescent="0.25">
      <c r="B89" s="30" t="s">
        <v>46</v>
      </c>
      <c r="C89" s="31"/>
      <c r="D89" s="31"/>
      <c r="E89" s="31"/>
      <c r="F89" s="31"/>
      <c r="G89" s="31"/>
      <c r="H89" s="31"/>
      <c r="I89" s="31"/>
      <c r="J89" s="32"/>
      <c r="K89" s="8"/>
      <c r="L89" s="8"/>
      <c r="M89" s="8"/>
      <c r="N89" s="8"/>
      <c r="O89" s="8"/>
      <c r="P89" s="8"/>
    </row>
    <row r="90" spans="2:16" x14ac:dyDescent="0.2">
      <c r="B90" s="22" t="s">
        <v>0</v>
      </c>
      <c r="C90" s="20" t="s">
        <v>47</v>
      </c>
      <c r="D90" s="20"/>
      <c r="E90" s="40" t="s">
        <v>21</v>
      </c>
      <c r="F90" s="40"/>
      <c r="G90" s="40" t="s">
        <v>32</v>
      </c>
      <c r="H90" s="40"/>
      <c r="I90" s="40"/>
      <c r="J90" s="42"/>
      <c r="K90" s="8"/>
      <c r="L90" s="8"/>
      <c r="M90" s="8"/>
      <c r="N90" s="8"/>
      <c r="O90" s="8"/>
      <c r="P90" s="8"/>
    </row>
    <row r="91" spans="2:16" ht="16" thickBot="1" x14ac:dyDescent="0.25">
      <c r="B91" s="23"/>
      <c r="C91" s="21"/>
      <c r="D91" s="21"/>
      <c r="E91" s="41"/>
      <c r="F91" s="41"/>
      <c r="G91" s="41"/>
      <c r="H91" s="41"/>
      <c r="I91" s="41"/>
      <c r="J91" s="43"/>
      <c r="K91" s="19" t="s">
        <v>13</v>
      </c>
      <c r="L91" s="19" t="s">
        <v>14</v>
      </c>
      <c r="M91" s="19" t="s">
        <v>15</v>
      </c>
      <c r="N91" s="19" t="s">
        <v>16</v>
      </c>
      <c r="O91" s="19" t="s">
        <v>17</v>
      </c>
      <c r="P91" s="8"/>
    </row>
    <row r="92" spans="2:16" ht="16" x14ac:dyDescent="0.2">
      <c r="B92" s="56" t="s">
        <v>3</v>
      </c>
      <c r="C92" s="92">
        <f>IF(OR(ISBLANK(C35), ISBLANK(B35), ISBLANK(C74)), "", ABS(((C35/2) + B35) -C74))</f>
        <v>200</v>
      </c>
      <c r="D92" s="92"/>
      <c r="E92" s="92">
        <f>IF(OR(ISBLANK(E35), ISBLANK(C35), ISBLANK(F35), ISBLANK(C92)), "",
    IF(C92=0, (E35*C35^3*1/12), (E35*C35^3*1/12) + (F35*C92^2))
)</f>
        <v>866666666.66666663</v>
      </c>
      <c r="F92" s="92"/>
      <c r="G92" s="28" t="str">
        <f>IF(OR(ISBLANK(E35), ISBLANK(C35), ISBLANK(F35), ISBLANK(C92)), "",
    IF(C92=0,
    "(" &amp; E35 &amp; " * " &amp; C35 &amp; "³ * (1/12)) = " &amp; ROUND(E35*C35^3*(1/12), 1),
    "(" &amp; E35 &amp; " * " &amp; C35 &amp; "³ * (1/12)) + (" &amp; F35 &amp; " * " &amp; C92 &amp; "²) = " &amp; ROUND((E35*C35^3*(1/12)) + (F35*C92^2), 1)
    )
)</f>
        <v>(100 * 200³ * (1/12)) + (20000 * 200²) = 866666666.7</v>
      </c>
      <c r="H92" s="28"/>
      <c r="I92" s="28"/>
      <c r="J92" s="29"/>
      <c r="K92" s="19">
        <f t="shared" ref="K92:K99" si="1">D35</f>
        <v>0</v>
      </c>
      <c r="L92" s="19">
        <f t="shared" ref="L92:L99" si="2">D35</f>
        <v>0</v>
      </c>
      <c r="M92" s="19">
        <f t="shared" ref="M92:M99" si="3">D35+E35</f>
        <v>100</v>
      </c>
      <c r="N92" s="19">
        <f t="shared" ref="N92:N99" si="4">D35+E35</f>
        <v>100</v>
      </c>
      <c r="O92" s="19">
        <f t="shared" ref="O92:O99" si="5">D35</f>
        <v>0</v>
      </c>
      <c r="P92" s="8"/>
    </row>
    <row r="93" spans="2:16" ht="16" x14ac:dyDescent="0.2">
      <c r="B93" s="56" t="s">
        <v>4</v>
      </c>
      <c r="C93" s="92">
        <f>IF(OR(ISBLANK(C36), ISBLANK(B36), ISBLANK(C74)), "", ABS(((C36/2) + B36) - C74))</f>
        <v>200</v>
      </c>
      <c r="D93" s="92"/>
      <c r="E93" s="92">
        <f>IF(OR(ISBLANK(E36), ISBLANK(C36), ISBLANK(F36), ISBLANK(C93)), "",
    IF(C93=0, (E36*C36^3*1/12), (E36*C36^3*1/12) + (F36*C93^2))
)</f>
        <v>866666666.66666663</v>
      </c>
      <c r="F93" s="92"/>
      <c r="G93" s="28" t="str">
        <f>IF(OR(ISBLANK(E36), ISBLANK(C36), ISBLANK(F36), ISBLANK(C93)), "",
    IF(C93=0,
    "(" &amp; E36 &amp; " * " &amp; C36 &amp; "³ * (1/12)) = " &amp; ROUND(E36*C36^3*(1/12), 1),
    "(" &amp; E36 &amp; " * " &amp; C36 &amp; "³ * (1/12)) + (" &amp; F36 &amp; " * " &amp; C93 &amp; "²) = " &amp; ROUND((E36*C36^3*(1/12)) + (F36*C93^2), 1)
    )
)</f>
        <v>(100 * 200³ * (1/12)) + (20000 * 200²) = 866666666.7</v>
      </c>
      <c r="H93" s="28"/>
      <c r="I93" s="28"/>
      <c r="J93" s="29"/>
      <c r="K93" s="19">
        <f t="shared" si="1"/>
        <v>0</v>
      </c>
      <c r="L93" s="19">
        <f t="shared" si="2"/>
        <v>0</v>
      </c>
      <c r="M93" s="19">
        <f t="shared" si="3"/>
        <v>100</v>
      </c>
      <c r="N93" s="19">
        <f t="shared" si="4"/>
        <v>100</v>
      </c>
      <c r="O93" s="19">
        <f t="shared" si="5"/>
        <v>0</v>
      </c>
      <c r="P93" s="8"/>
    </row>
    <row r="94" spans="2:16" ht="16" x14ac:dyDescent="0.2">
      <c r="B94" s="56" t="s">
        <v>5</v>
      </c>
      <c r="C94" s="92">
        <f>IF(OR(ISBLANK(C37), ISBLANK(B37), ISBLANK(C74)), "", ABS(((C37/2) + B37) -C74))</f>
        <v>150</v>
      </c>
      <c r="D94" s="92"/>
      <c r="E94" s="92">
        <f>IF(OR(ISBLANK(E37), ISBLANK(C37), ISBLANK(F37), ISBLANK(C94)), "",
    IF(C94=0, (E37*C37^3*1/12), (E37*C37^3*1/12) + (F37*C94^2))
)</f>
        <v>466666666.66666669</v>
      </c>
      <c r="F94" s="92"/>
      <c r="G94" s="28" t="str">
        <f>IF(OR(ISBLANK(E37), ISBLANK(C37), ISBLANK(F37), ISBLANK(C94)), "",
    IF(C94=0,
    "(" &amp; E37 &amp; " * " &amp; C37 &amp; "³ * (1/12)) = " &amp; ROUND(E37*C37^3*(1/12), 1),
    "(" &amp; E37 &amp; " * " &amp; C37 &amp; "³ * (1/12)) + (" &amp; F37 &amp; " * " &amp; C94 &amp; "²) = " &amp; ROUND((E37*C37^3*(1/12)) + (F37*C94^2), 1)
    )
)</f>
        <v>(200 * 100³ * (1/12)) + (20000 * 150²) = 466666666.7</v>
      </c>
      <c r="H94" s="28"/>
      <c r="I94" s="28"/>
      <c r="J94" s="29"/>
      <c r="K94" s="19">
        <f t="shared" si="1"/>
        <v>100</v>
      </c>
      <c r="L94" s="19">
        <f t="shared" si="2"/>
        <v>100</v>
      </c>
      <c r="M94" s="19">
        <f t="shared" si="3"/>
        <v>300</v>
      </c>
      <c r="N94" s="19">
        <f t="shared" si="4"/>
        <v>300</v>
      </c>
      <c r="O94" s="19">
        <f t="shared" si="5"/>
        <v>100</v>
      </c>
      <c r="P94" s="8"/>
    </row>
    <row r="95" spans="2:16" ht="16" x14ac:dyDescent="0.2">
      <c r="B95" s="56" t="s">
        <v>6</v>
      </c>
      <c r="C95" s="92">
        <f>IF(OR(ISBLANK(C38), ISBLANK(B38), ISBLANK(C74)), "", ABS(((C38/2) + B38) -C74))</f>
        <v>150</v>
      </c>
      <c r="D95" s="92"/>
      <c r="E95" s="92">
        <f>IF(OR(ISBLANK(E38), ISBLANK(C38), ISBLANK(F38), ISBLANK(C95)), "",
    IF(C95=0, (E38*C38^3*1/12), (E38*C38^3*1/12) + (F38*C95^2))
)</f>
        <v>466666666.66666669</v>
      </c>
      <c r="F95" s="92"/>
      <c r="G95" s="28" t="str">
        <f>IF(OR(ISBLANK(E38), ISBLANK(C38), ISBLANK(F38), ISBLANK(C95)), "",
    IF(C95=0,
    "(" &amp; E38 &amp; " * " &amp; C38 &amp; "³ * (1/12)) = " &amp; ROUND(E38*C38^3*(1/12), 1),
    "(" &amp; E38 &amp; " * " &amp; C38 &amp; "³ * (1/12)) + (" &amp; F38 &amp; " * " &amp; C95 &amp; "²) = " &amp; ROUND((E38*C38^3*(1/12)) + (F38*C95^2), 1)
    )
)</f>
        <v>(200 * 100³ * (1/12)) + (20000 * 150²) = 466666666.7</v>
      </c>
      <c r="H95" s="28"/>
      <c r="I95" s="28"/>
      <c r="J95" s="29"/>
      <c r="K95" s="19">
        <f t="shared" si="1"/>
        <v>100</v>
      </c>
      <c r="L95" s="19">
        <f t="shared" si="2"/>
        <v>100</v>
      </c>
      <c r="M95" s="19">
        <f t="shared" si="3"/>
        <v>300</v>
      </c>
      <c r="N95" s="19">
        <f t="shared" si="4"/>
        <v>300</v>
      </c>
      <c r="O95" s="19">
        <f t="shared" si="5"/>
        <v>100</v>
      </c>
      <c r="P95" s="8"/>
    </row>
    <row r="96" spans="2:16" ht="16" x14ac:dyDescent="0.2">
      <c r="B96" s="56" t="s">
        <v>7</v>
      </c>
      <c r="C96" s="92">
        <f>IF(OR(ISBLANK(C39), ISBLANK(B39), ISBLANK(C74)), "", ABS(((C39/2) + B39) -C74))</f>
        <v>0</v>
      </c>
      <c r="D96" s="92"/>
      <c r="E96" s="92">
        <f>IF(OR(ISBLANK(E39), ISBLANK(C39), ISBLANK(F39), ISBLANK(C96)), "",
    IF(C96=0, (E39*C39^3*1/12), (E39*C39^3*1/12) + (F39*C96^2))
)</f>
        <v>533333333.33333331</v>
      </c>
      <c r="F96" s="92"/>
      <c r="G96" s="28" t="str">
        <f>IF(OR(ISBLANK(E39), ISBLANK(C39), ISBLANK(F39), ISBLANK(C96)), "",
    IF(C96=0,
    "(" &amp; E39 &amp; " * " &amp; C39 &amp; "³ * (1/12)) = " &amp; ROUND(E39*C39^3*(1/12), 1),
    "(" &amp; E39 &amp; " * " &amp; C39 &amp; "³ * (1/12)) + (" &amp; F39 &amp; " * " &amp; C96 &amp; "²) = " &amp; ROUND((E39*C39^3*(1/12)) + (F39*C96^2), 1)
    )
)</f>
        <v>(100 * 400³ * (1/12)) = 533333333.3</v>
      </c>
      <c r="H96" s="28"/>
      <c r="I96" s="28"/>
      <c r="J96" s="29"/>
      <c r="K96" s="19">
        <f t="shared" si="1"/>
        <v>300</v>
      </c>
      <c r="L96" s="19">
        <f t="shared" si="2"/>
        <v>300</v>
      </c>
      <c r="M96" s="19">
        <f t="shared" si="3"/>
        <v>400</v>
      </c>
      <c r="N96" s="19">
        <f t="shared" si="4"/>
        <v>400</v>
      </c>
      <c r="O96" s="19">
        <f t="shared" si="5"/>
        <v>300</v>
      </c>
      <c r="P96" s="8"/>
    </row>
    <row r="97" spans="1:16" ht="16" x14ac:dyDescent="0.2">
      <c r="A97" s="14"/>
      <c r="B97" s="56" t="s">
        <v>26</v>
      </c>
      <c r="C97" s="92" t="str">
        <f>IF(OR(ISBLANK(C40), ISBLANK(B40), ISBLANK(C74)), "", ABS(((C40/2) + B40) -C74))</f>
        <v/>
      </c>
      <c r="D97" s="92"/>
      <c r="E97" s="92" t="str">
        <f>IF(OR(ISBLANK(E40), ISBLANK(C40), ISBLANK(F40), ISBLANK(C97)), "",
    IF(C97=0, (E40*C40^3*1/12), (E40*C40^3*1/12) + (F40*C97^2))
)</f>
        <v/>
      </c>
      <c r="F97" s="92"/>
      <c r="G97" s="28" t="str">
        <f>IF(OR(ISBLANK(E40), ISBLANK(C40), ISBLANK(F40), ISBLANK(C97)), "",
    IF(C97=0,
    "(" &amp; E40 &amp; " * " &amp; C40 &amp; "³ * (1/12)) = " &amp; ROUND(E40*C40^3*(1/12), 1),
    "(" &amp; E40 &amp; " * " &amp; C40 &amp; "³ * (1/12)) + (" &amp; F40 &amp; " * " &amp; C97 &amp; "²) = " &amp; ROUND((E40*C40^3*(1/12)) + (F40*C97^2), 1)
    )
)</f>
        <v/>
      </c>
      <c r="H97" s="28"/>
      <c r="I97" s="28"/>
      <c r="J97" s="29"/>
      <c r="K97" s="19">
        <f t="shared" si="1"/>
        <v>0</v>
      </c>
      <c r="L97" s="19">
        <f t="shared" si="2"/>
        <v>0</v>
      </c>
      <c r="M97" s="19">
        <f t="shared" si="3"/>
        <v>0</v>
      </c>
      <c r="N97" s="19">
        <f t="shared" si="4"/>
        <v>0</v>
      </c>
      <c r="O97" s="19">
        <f t="shared" si="5"/>
        <v>0</v>
      </c>
      <c r="P97" s="8"/>
    </row>
    <row r="98" spans="1:16" ht="16" x14ac:dyDescent="0.2">
      <c r="A98" s="14"/>
      <c r="B98" s="56" t="s">
        <v>27</v>
      </c>
      <c r="C98" s="92" t="str">
        <f>IF(OR(ISBLANK(C41), ISBLANK(B41), ISBLANK(C74)), "", ABS(((C41/2) + B41) -C74))</f>
        <v/>
      </c>
      <c r="D98" s="92"/>
      <c r="E98" s="92" t="str">
        <f>IF(OR(ISBLANK(E41), ISBLANK(C41), ISBLANK(F41), ISBLANK(C98)), "",
    IF(C98=0, (E41*C41^3*1/12), (E41*C41^3*1/12) + (F41*C98^2))
)</f>
        <v/>
      </c>
      <c r="F98" s="92"/>
      <c r="G98" s="28" t="str">
        <f>IF(OR(ISBLANK(E41), ISBLANK(C41), ISBLANK(F41), ISBLANK(C98)), "",
    IF(C98=0,
    "(" &amp; E41 &amp; " * " &amp; C41 &amp; "³ * (1/12)) = " &amp; ROUND(E41*C41^3*(1/12), 1),
    "(" &amp; E41 &amp; " * " &amp; C41 &amp; "³ * (1/12)) + (" &amp; F41 &amp; " * " &amp; C98 &amp; "²) = " &amp; ROUND((E41*C41^3*(1/12)) + (F41*C98^2), 1)
    )
)</f>
        <v/>
      </c>
      <c r="H98" s="28"/>
      <c r="I98" s="28"/>
      <c r="J98" s="29"/>
      <c r="K98" s="19">
        <f t="shared" si="1"/>
        <v>0</v>
      </c>
      <c r="L98" s="19">
        <f t="shared" si="2"/>
        <v>0</v>
      </c>
      <c r="M98" s="19">
        <f t="shared" si="3"/>
        <v>0</v>
      </c>
      <c r="N98" s="19">
        <f t="shared" si="4"/>
        <v>0</v>
      </c>
      <c r="O98" s="19">
        <f t="shared" si="5"/>
        <v>0</v>
      </c>
      <c r="P98" s="8"/>
    </row>
    <row r="99" spans="1:16" ht="17" thickBot="1" x14ac:dyDescent="0.25">
      <c r="A99" s="14"/>
      <c r="B99" s="56" t="s">
        <v>28</v>
      </c>
      <c r="C99" s="95" t="str">
        <f>IF(OR(ISBLANK(C42), ISBLANK(B42), ISBLANK(C74)), "", ABS(((C42/2) + B42) -C74))</f>
        <v/>
      </c>
      <c r="D99" s="95"/>
      <c r="E99" s="95" t="str">
        <f>IF(OR(ISBLANK(E42), ISBLANK(C42), ISBLANK(F42), ISBLANK(C99)), "",
    IF(C99=0, (E42*C42^3*1/12), (E42*C42^3*1/12) + (F42*C99^2))
)</f>
        <v/>
      </c>
      <c r="F99" s="95"/>
      <c r="G99" s="64" t="str">
        <f>IF(OR(ISBLANK(E42), ISBLANK(C42), ISBLANK(F42), ISBLANK(C99)), "",
    IF(C99=0,
    "(" &amp; E42 &amp; " * " &amp; C42 &amp; "³ * (1/12)) = " &amp; ROUND(E42*C42^3*(1/12), 1),
    "(" &amp; E42 &amp; " * " &amp; C42 &amp; "³ * (1/12)) + (" &amp; F42 &amp; " * " &amp; C99 &amp; "²) = " &amp; ROUND((E42*C42^3*(1/12)) + (F42*C99^2), 1)
    )
)</f>
        <v/>
      </c>
      <c r="H99" s="64"/>
      <c r="I99" s="64"/>
      <c r="J99" s="65"/>
      <c r="K99" s="19">
        <f t="shared" si="1"/>
        <v>0</v>
      </c>
      <c r="L99" s="19">
        <f t="shared" si="2"/>
        <v>0</v>
      </c>
      <c r="M99" s="19">
        <f t="shared" si="3"/>
        <v>0</v>
      </c>
      <c r="N99" s="19">
        <f t="shared" si="4"/>
        <v>0</v>
      </c>
      <c r="O99" s="19">
        <f t="shared" si="5"/>
        <v>0</v>
      </c>
      <c r="P99" s="8"/>
    </row>
    <row r="100" spans="1:16" ht="17" thickBot="1" x14ac:dyDescent="0.25">
      <c r="B100" s="66" t="s">
        <v>57</v>
      </c>
      <c r="C100" s="97"/>
      <c r="D100" s="67"/>
      <c r="E100" s="96">
        <f>SUM(E92:E99)</f>
        <v>3200000000</v>
      </c>
      <c r="F100" s="96"/>
      <c r="G100" s="71" t="str">
        <f>"Iz = "&amp;(ROUND(E100/10^6,2)&amp;" * 10⁶")</f>
        <v>Iz = 3200 * 10⁶</v>
      </c>
      <c r="H100" s="71"/>
      <c r="I100" s="71"/>
      <c r="J100" s="72"/>
      <c r="K100" s="8"/>
      <c r="L100" s="8"/>
      <c r="M100" s="8"/>
      <c r="N100" s="8"/>
      <c r="O100" s="8"/>
      <c r="P100" s="8"/>
    </row>
    <row r="101" spans="1:16" ht="16" thickBot="1" x14ac:dyDescent="0.25"/>
    <row r="102" spans="1:16" ht="20" thickBot="1" x14ac:dyDescent="0.3">
      <c r="A102" s="33" t="s">
        <v>48</v>
      </c>
      <c r="B102" s="34"/>
      <c r="C102" s="34"/>
      <c r="D102" s="34"/>
      <c r="E102" s="34"/>
      <c r="F102" s="34"/>
      <c r="G102" s="34"/>
      <c r="H102" s="34"/>
      <c r="I102" s="34"/>
      <c r="J102" s="35"/>
    </row>
    <row r="103" spans="1:16" ht="16" thickBot="1" x14ac:dyDescent="0.25">
      <c r="B103" s="30" t="s">
        <v>53</v>
      </c>
      <c r="C103" s="31"/>
      <c r="D103" s="31"/>
      <c r="E103" s="31"/>
      <c r="F103" s="31"/>
      <c r="G103" s="31"/>
      <c r="H103" s="31"/>
      <c r="I103" s="31"/>
      <c r="J103" s="32"/>
    </row>
    <row r="104" spans="1:16" x14ac:dyDescent="0.2">
      <c r="B104" s="22" t="s">
        <v>52</v>
      </c>
      <c r="C104" s="47" t="s">
        <v>49</v>
      </c>
      <c r="D104" s="47"/>
      <c r="E104" s="47" t="s">
        <v>50</v>
      </c>
      <c r="F104" s="47"/>
      <c r="G104" s="47" t="s">
        <v>77</v>
      </c>
      <c r="H104" s="47" t="s">
        <v>51</v>
      </c>
      <c r="I104" s="47" t="s">
        <v>32</v>
      </c>
      <c r="J104" s="53"/>
    </row>
    <row r="105" spans="1:16" ht="16" thickBot="1" x14ac:dyDescent="0.25">
      <c r="B105" s="23"/>
      <c r="C105" s="54"/>
      <c r="D105" s="54"/>
      <c r="E105" s="54"/>
      <c r="F105" s="54"/>
      <c r="G105" s="54"/>
      <c r="H105" s="54"/>
      <c r="I105" s="54"/>
      <c r="J105" s="55"/>
    </row>
    <row r="106" spans="1:16" ht="16" x14ac:dyDescent="0.2">
      <c r="B106" s="132" t="s">
        <v>75</v>
      </c>
      <c r="C106" s="57">
        <f>C74</f>
        <v>300</v>
      </c>
      <c r="D106" s="57"/>
      <c r="E106" s="57">
        <f>MAX(C35:C42)</f>
        <v>400</v>
      </c>
      <c r="F106" s="57"/>
      <c r="G106" s="58">
        <f>ABS(E106-C106)</f>
        <v>100</v>
      </c>
      <c r="H106" s="103">
        <f>E100/G106</f>
        <v>32000000</v>
      </c>
      <c r="I106" s="59" t="str">
        <f>IF(OR(ISBLANK(E100), ISBLANK(G106)), "",
    IF(G106=0, "",
        "Wo,Y = " &amp; ROUND(E100, 2) &amp; " / " &amp; ROUND(G106, 2) &amp; " / 10^6 = " &amp; ROUND((E100/G106)/10^6, 2) &amp; " * 10^6"
    )
)</f>
        <v>Wo,Y = 3200000000 / 100 / 10^6 = 32 * 10^6</v>
      </c>
      <c r="J106" s="29"/>
    </row>
    <row r="107" spans="1:16" ht="17" thickBot="1" x14ac:dyDescent="0.25">
      <c r="B107" s="132" t="s">
        <v>76</v>
      </c>
      <c r="C107" s="60">
        <f>C74</f>
        <v>300</v>
      </c>
      <c r="D107" s="60"/>
      <c r="E107" s="60">
        <f>MAX(C35:C42)</f>
        <v>400</v>
      </c>
      <c r="F107" s="60"/>
      <c r="G107" s="61">
        <f>ABS(E107-C107)</f>
        <v>100</v>
      </c>
      <c r="H107" s="103">
        <f>E100/C107</f>
        <v>10666666.666666666</v>
      </c>
      <c r="I107" s="62" t="str">
        <f>IF(OR(ISBLANK(E100), ISBLANK(C107)), "",
    IF(C107=0, "",
        "Wu,Y = " &amp; ROUND(E100, 2) &amp; " / " &amp; ROUND(C107, 2) &amp; " / 10^6 = " &amp; ROUND((E100/C107)/10^6, 2) &amp; " * 10^6"
    )
)</f>
        <v>Wu,Y = 3200000000 / 300 / 10^6 = 10.67 * 10^6</v>
      </c>
      <c r="J107" s="63"/>
    </row>
    <row r="108" spans="1:16" ht="16" thickBot="1" x14ac:dyDescent="0.25">
      <c r="B108" s="30" t="s">
        <v>54</v>
      </c>
      <c r="C108" s="31"/>
      <c r="D108" s="31"/>
      <c r="E108" s="31"/>
      <c r="F108" s="31"/>
      <c r="G108" s="31"/>
      <c r="H108" s="31"/>
      <c r="I108" s="31"/>
      <c r="J108" s="32"/>
    </row>
    <row r="109" spans="1:16" x14ac:dyDescent="0.2">
      <c r="B109" s="22" t="s">
        <v>52</v>
      </c>
      <c r="C109" s="47" t="s">
        <v>56</v>
      </c>
      <c r="D109" s="47"/>
      <c r="E109" s="47" t="s">
        <v>55</v>
      </c>
      <c r="F109" s="47"/>
      <c r="G109" s="47" t="s">
        <v>78</v>
      </c>
      <c r="H109" s="47" t="s">
        <v>51</v>
      </c>
      <c r="I109" s="47" t="s">
        <v>32</v>
      </c>
      <c r="J109" s="53"/>
    </row>
    <row r="110" spans="1:16" ht="16" thickBot="1" x14ac:dyDescent="0.25">
      <c r="B110" s="23"/>
      <c r="C110" s="54"/>
      <c r="D110" s="54"/>
      <c r="E110" s="54"/>
      <c r="F110" s="54"/>
      <c r="G110" s="54"/>
      <c r="H110" s="54"/>
      <c r="I110" s="54"/>
      <c r="J110" s="55"/>
    </row>
    <row r="111" spans="1:16" ht="16" x14ac:dyDescent="0.2">
      <c r="B111" s="132" t="s">
        <v>74</v>
      </c>
      <c r="C111" s="51">
        <f>C59</f>
        <v>200</v>
      </c>
      <c r="D111" s="51"/>
      <c r="E111" s="51" cm="1">
        <f t="array" ref="E111">MAX(D35:D42 + E35:E42)</f>
        <v>400</v>
      </c>
      <c r="F111" s="51"/>
      <c r="G111" s="52">
        <f>ABS(C111-E111)</f>
        <v>200</v>
      </c>
      <c r="H111" s="103">
        <f>E88/G111</f>
        <v>10000000</v>
      </c>
      <c r="I111" s="26" t="str">
        <f>IF(OR(ISBLANK(E88), ISBLANK(G111)), "",
    IF(G111=0, "",
        "Wo,Z = " &amp; ROUND(E88, 2) &amp; " / " &amp; ROUND(G111, 2) &amp; " / 10^6 = " &amp; ROUND((E88/G111)/10^6, 2) &amp; " * 10^6"
    )
)</f>
        <v>Wo,Z = 2000000000 / 200 / 10^6 = 10 * 10^6</v>
      </c>
      <c r="J111" s="27"/>
    </row>
    <row r="112" spans="1:16" ht="17" thickBot="1" x14ac:dyDescent="0.25">
      <c r="B112" s="133" t="s">
        <v>73</v>
      </c>
      <c r="C112" s="60">
        <f>C59</f>
        <v>200</v>
      </c>
      <c r="D112" s="60"/>
      <c r="E112" s="60" cm="1">
        <f t="array" ref="E112">MAX(D35:D42 + E35:E42)</f>
        <v>400</v>
      </c>
      <c r="F112" s="60"/>
      <c r="G112" s="61">
        <f>ABS(C112-E112)</f>
        <v>200</v>
      </c>
      <c r="H112" s="104">
        <f>E88/C112</f>
        <v>10000000</v>
      </c>
      <c r="I112" s="62" t="str">
        <f>IF(OR(ISBLANK(E88), ISBLANK(C112)), "",
    IF(C112=0, "",
        "Wu,Z = " &amp; ROUND(E88, 2) &amp; " / " &amp; ROUND(C112, 2) &amp; " / 10^6 = " &amp; ROUND((E88/C112)/10^6, 2) &amp; " * 10^6"
    )
)</f>
        <v>Wu,Z = 2000000000 / 200 / 10^6 = 10 * 10^6</v>
      </c>
      <c r="J112" s="63"/>
    </row>
    <row r="113" spans="1:10" ht="16" thickBot="1" x14ac:dyDescent="0.25"/>
    <row r="114" spans="1:10" ht="20" thickBot="1" x14ac:dyDescent="0.3">
      <c r="A114" s="33" t="s">
        <v>62</v>
      </c>
      <c r="B114" s="34"/>
      <c r="C114" s="34"/>
      <c r="D114" s="34"/>
      <c r="E114" s="34"/>
      <c r="F114" s="34"/>
      <c r="G114" s="34"/>
      <c r="H114" s="34"/>
      <c r="I114" s="34"/>
      <c r="J114" s="35"/>
    </row>
    <row r="115" spans="1:10" ht="16" thickBot="1" x14ac:dyDescent="0.25">
      <c r="B115" s="106" t="s">
        <v>65</v>
      </c>
      <c r="C115" s="31"/>
      <c r="D115" s="31"/>
      <c r="E115" s="31"/>
      <c r="F115" s="31"/>
      <c r="G115" s="31"/>
      <c r="H115" s="31"/>
      <c r="I115" s="31"/>
      <c r="J115" s="32"/>
    </row>
    <row r="116" spans="1:10" ht="17" thickBot="1" x14ac:dyDescent="0.25">
      <c r="B116" s="97" t="s">
        <v>64</v>
      </c>
      <c r="C116" s="130">
        <v>80</v>
      </c>
      <c r="D116" s="9" t="s">
        <v>71</v>
      </c>
    </row>
    <row r="117" spans="1:10" x14ac:dyDescent="0.2">
      <c r="B117" s="22" t="s">
        <v>52</v>
      </c>
      <c r="C117" s="47"/>
      <c r="D117" s="47"/>
      <c r="E117" s="47" t="s">
        <v>72</v>
      </c>
      <c r="F117" s="47"/>
      <c r="G117" s="47" t="s">
        <v>32</v>
      </c>
      <c r="H117" s="47"/>
      <c r="I117" s="47"/>
      <c r="J117" s="53"/>
    </row>
    <row r="118" spans="1:10" ht="16" thickBot="1" x14ac:dyDescent="0.25">
      <c r="B118" s="23"/>
      <c r="C118" s="54"/>
      <c r="D118" s="54"/>
      <c r="E118" s="54"/>
      <c r="F118" s="54"/>
      <c r="G118" s="54"/>
      <c r="H118" s="54"/>
      <c r="I118" s="54"/>
      <c r="J118" s="55"/>
    </row>
    <row r="119" spans="1:10" ht="17" thickBot="1" x14ac:dyDescent="0.25">
      <c r="B119" s="107" t="s">
        <v>69</v>
      </c>
      <c r="C119" s="115"/>
      <c r="D119" s="116"/>
      <c r="E119" s="117">
        <f>(C116*10^6*G106)/E100</f>
        <v>2.5</v>
      </c>
      <c r="F119" s="118"/>
      <c r="G119" s="124" t="str">
        <f>"σMu = (" &amp; C116 &amp; " * 10^6 * " &amp; G106 &amp; ") / " &amp; E100 &amp; " = " &amp; ROUND((C116 * 10^6 * G106) / E100, 2) &amp; " N/mm²"</f>
        <v>σMu = (80 * 10^6 * 100) / 3200000000 = 2.5 N/mm²</v>
      </c>
      <c r="H119" s="125"/>
      <c r="I119" s="125"/>
      <c r="J119" s="126"/>
    </row>
    <row r="120" spans="1:10" ht="17" thickBot="1" x14ac:dyDescent="0.25">
      <c r="A120" s="8"/>
      <c r="B120" s="110" t="s">
        <v>70</v>
      </c>
      <c r="C120" s="111"/>
      <c r="D120" s="112"/>
      <c r="E120" s="113">
        <f>(C116*10^6*C106)/E100</f>
        <v>7.5</v>
      </c>
      <c r="F120" s="114"/>
      <c r="G120" s="77" t="str">
        <f>"σMo = (" &amp; ROUND(C116, 2) &amp; " * 10^6 * " &amp; ROUND(C106, 2) &amp; ") / " &amp; ROUND(E100, 2) &amp; " = " &amp; ROUND((C116*10^6*C106)/E100, 2) &amp; " N/mm²"</f>
        <v>σMo = (80 * 10^6 * 300) / 3200000000 = 7.5 N/mm²</v>
      </c>
      <c r="H120" s="78"/>
      <c r="I120" s="78" t="str">
        <f>IF(OR(ISBLANK(E113), ISBLANK(C120)), "",
    IF(C120=0, "",
        "Wu,Y = " &amp; ROUND(E113, 2) &amp; " / " &amp; ROUND(C120, 2) &amp; " / 10^6 = " &amp; ROUND((E113/C120)/10^6, 2) &amp; " * 10^6"
    )
)</f>
        <v/>
      </c>
      <c r="J120" s="89"/>
    </row>
    <row r="121" spans="1:10" ht="16" thickBot="1" x14ac:dyDescent="0.25">
      <c r="A121" s="8"/>
      <c r="B121" s="30" t="s">
        <v>66</v>
      </c>
      <c r="C121" s="31"/>
      <c r="D121" s="31"/>
      <c r="E121" s="31"/>
      <c r="F121" s="31"/>
      <c r="G121" s="31"/>
      <c r="H121" s="31"/>
      <c r="I121" s="31"/>
      <c r="J121" s="32"/>
    </row>
    <row r="122" spans="1:10" ht="17" thickBot="1" x14ac:dyDescent="0.25">
      <c r="A122" s="8"/>
      <c r="B122" s="97" t="s">
        <v>63</v>
      </c>
      <c r="C122" s="130">
        <v>50</v>
      </c>
      <c r="D122" s="9" t="s">
        <v>71</v>
      </c>
    </row>
    <row r="123" spans="1:10" x14ac:dyDescent="0.2">
      <c r="A123" s="8"/>
      <c r="B123" s="22" t="s">
        <v>52</v>
      </c>
      <c r="C123" s="47"/>
      <c r="D123" s="47"/>
      <c r="E123" s="47" t="s">
        <v>72</v>
      </c>
      <c r="F123" s="47"/>
      <c r="G123" s="47" t="s">
        <v>32</v>
      </c>
      <c r="H123" s="47"/>
      <c r="I123" s="47"/>
      <c r="J123" s="53"/>
    </row>
    <row r="124" spans="1:10" ht="16" thickBot="1" x14ac:dyDescent="0.25">
      <c r="A124" s="8"/>
      <c r="B124" s="23"/>
      <c r="C124" s="54"/>
      <c r="D124" s="54"/>
      <c r="E124" s="54"/>
      <c r="F124" s="54"/>
      <c r="G124" s="54"/>
      <c r="H124" s="54"/>
      <c r="I124" s="54"/>
      <c r="J124" s="55"/>
    </row>
    <row r="125" spans="1:10" ht="17" thickBot="1" x14ac:dyDescent="0.25">
      <c r="A125" s="8"/>
      <c r="B125" s="108" t="s">
        <v>67</v>
      </c>
      <c r="C125" s="46"/>
      <c r="D125" s="109"/>
      <c r="E125" s="113">
        <f>(C122*10^6*G111)/E88</f>
        <v>5</v>
      </c>
      <c r="F125" s="114"/>
      <c r="G125" s="124" t="str">
        <f>"σMu = (" &amp; ROUND(C122, 2) &amp; " * 10^6 * " &amp; ROUND(G111, 2) &amp; ") / " &amp; ROUND(E88, 2) &amp; " = " &amp; ROUND((C122*10^6*G111)/E88, 2) &amp; " N/mm²"</f>
        <v>σMu = (50 * 10^6 * 200) / 2000000000 = 5 N/mm²</v>
      </c>
      <c r="H125" s="125"/>
      <c r="I125" s="125" t="str">
        <f>IF(OR(ISBLANK(E101), ISBLANK(G125)), "",
    IF(G125=0, "",
        "Wo,Z = " &amp; ROUND(E101, 2) &amp; " / " &amp; ROUND(G125, 2) &amp; " / 10^6 = " &amp; ROUND((E101/G125)/10^6, 2) &amp; " * 10^6"
    )
)</f>
        <v/>
      </c>
      <c r="J125" s="126"/>
    </row>
    <row r="126" spans="1:10" ht="17" thickBot="1" x14ac:dyDescent="0.25">
      <c r="A126" s="8"/>
      <c r="B126" s="119" t="s">
        <v>68</v>
      </c>
      <c r="C126" s="120"/>
      <c r="D126" s="121"/>
      <c r="E126" s="122">
        <f>(C122*10^6*C111)/E88</f>
        <v>5</v>
      </c>
      <c r="F126" s="123"/>
      <c r="G126" s="127" t="str">
        <f>"σMo = (" &amp; ROUND(C122, 2) &amp; " * 10^6 * " &amp; ROUND(C111, 2) &amp; ") / " &amp; ROUND(E88, 2) &amp; " = " &amp; ROUND((C122*10^6*C111)/E88, 2) &amp; " N/mm²"</f>
        <v>σMo = (50 * 10^6 * 200) / 2000000000 = 5 N/mm²</v>
      </c>
      <c r="H126" s="128"/>
      <c r="I126" s="128" t="str">
        <f>IF(OR(ISBLANK(E101), ISBLANK(C126)), "",
    IF(C126=0, "",
        "Wu,Z = " &amp; ROUND(E101, 2) &amp; " / " &amp; ROUND(C126, 2) &amp; " / 10^6 = " &amp; ROUND((E101/C126)/10^6, 2) &amp; " * 10^6"
    )
)</f>
        <v/>
      </c>
      <c r="J126" s="129"/>
    </row>
    <row r="127" spans="1:10" x14ac:dyDescent="0.2">
      <c r="A127" s="8"/>
    </row>
    <row r="137" spans="2:7" x14ac:dyDescent="0.2">
      <c r="B137" s="8"/>
      <c r="C137" s="8"/>
      <c r="D137" s="8"/>
      <c r="E137" s="8"/>
      <c r="F137" s="8"/>
      <c r="G137" s="8"/>
    </row>
    <row r="138" spans="2:7" x14ac:dyDescent="0.2">
      <c r="B138" s="8"/>
      <c r="C138" s="8"/>
      <c r="D138" s="8"/>
      <c r="E138" s="8"/>
      <c r="F138" s="8"/>
      <c r="G138" s="8"/>
    </row>
    <row r="139" spans="2:7" x14ac:dyDescent="0.2">
      <c r="B139" s="8"/>
      <c r="C139" s="8" t="s">
        <v>1</v>
      </c>
      <c r="D139" s="8" t="s">
        <v>22</v>
      </c>
      <c r="E139" s="8" t="s">
        <v>2</v>
      </c>
      <c r="F139" s="8" t="s">
        <v>23</v>
      </c>
      <c r="G139" s="8"/>
    </row>
    <row r="140" spans="2:7" x14ac:dyDescent="0.2">
      <c r="B140" s="8" t="s">
        <v>18</v>
      </c>
      <c r="C140" s="8">
        <v>0</v>
      </c>
      <c r="D140" s="13">
        <f>DiagrammDimensionen!C11</f>
        <v>600</v>
      </c>
      <c r="E140" s="131">
        <f>C59</f>
        <v>200</v>
      </c>
      <c r="F140" s="131">
        <f>C59</f>
        <v>200</v>
      </c>
      <c r="G140" s="8"/>
    </row>
    <row r="141" spans="2:7" x14ac:dyDescent="0.2">
      <c r="B141" s="8" t="s">
        <v>19</v>
      </c>
      <c r="C141" s="8">
        <v>0</v>
      </c>
      <c r="D141" s="13">
        <f>DiagrammDimensionen!C11</f>
        <v>600</v>
      </c>
      <c r="E141" s="131">
        <f>C74</f>
        <v>300</v>
      </c>
      <c r="F141" s="131">
        <f>C74</f>
        <v>300</v>
      </c>
      <c r="G141" s="8"/>
    </row>
    <row r="142" spans="2:7" x14ac:dyDescent="0.2">
      <c r="B142" s="8"/>
      <c r="C142" s="8"/>
      <c r="D142" s="8"/>
      <c r="E142" s="8"/>
      <c r="F142" s="8"/>
      <c r="G142" s="8"/>
    </row>
    <row r="143" spans="2:7" x14ac:dyDescent="0.2">
      <c r="B143" s="8"/>
      <c r="C143" s="8"/>
      <c r="D143" s="8"/>
      <c r="E143" s="8"/>
      <c r="F143" s="8"/>
      <c r="G143" s="8"/>
    </row>
    <row r="144" spans="2:7" x14ac:dyDescent="0.2">
      <c r="B144" s="8"/>
      <c r="C144" s="8"/>
      <c r="D144" s="8"/>
      <c r="E144" s="8"/>
      <c r="F144" s="8"/>
      <c r="G144" s="8"/>
    </row>
  </sheetData>
  <sheetProtection algorithmName="SHA-512" hashValue="J0tiA4TJEwBX6IpoxXz54OjWvHSECbsd7HiSO3/PjpH9ZV/fdXqLLsaSlJzAlgneBd6+HFQYK+V2xudSEaVIYQ==" saltValue="OFnzzp0NwdNjV8cLYekTug==" spinCount="100000" sheet="1" objects="1" scenarios="1" selectLockedCells="1"/>
  <mergeCells count="167">
    <mergeCell ref="E125:F125"/>
    <mergeCell ref="E126:F126"/>
    <mergeCell ref="B125:D125"/>
    <mergeCell ref="B126:D126"/>
    <mergeCell ref="G125:J125"/>
    <mergeCell ref="G126:J126"/>
    <mergeCell ref="B121:J121"/>
    <mergeCell ref="E123:F124"/>
    <mergeCell ref="B123:D124"/>
    <mergeCell ref="G123:J124"/>
    <mergeCell ref="E119:F119"/>
    <mergeCell ref="E120:F120"/>
    <mergeCell ref="B119:D119"/>
    <mergeCell ref="B120:D120"/>
    <mergeCell ref="G119:J119"/>
    <mergeCell ref="G120:J120"/>
    <mergeCell ref="B115:J115"/>
    <mergeCell ref="E117:F118"/>
    <mergeCell ref="B117:D118"/>
    <mergeCell ref="G117:J118"/>
    <mergeCell ref="C74:D74"/>
    <mergeCell ref="E74:J74"/>
    <mergeCell ref="B60:J60"/>
    <mergeCell ref="B45:J45"/>
    <mergeCell ref="A114:J114"/>
    <mergeCell ref="C70:D70"/>
    <mergeCell ref="E70:J70"/>
    <mergeCell ref="C72:D72"/>
    <mergeCell ref="C73:D73"/>
    <mergeCell ref="E73:J73"/>
    <mergeCell ref="C67:D67"/>
    <mergeCell ref="E67:J67"/>
    <mergeCell ref="C68:D68"/>
    <mergeCell ref="E68:J68"/>
    <mergeCell ref="C69:D69"/>
    <mergeCell ref="E69:J69"/>
    <mergeCell ref="C64:D64"/>
    <mergeCell ref="E64:J64"/>
    <mergeCell ref="C65:D65"/>
    <mergeCell ref="E65:J65"/>
    <mergeCell ref="C66:D66"/>
    <mergeCell ref="E66:J66"/>
    <mergeCell ref="B61:B62"/>
    <mergeCell ref="C61:D62"/>
    <mergeCell ref="E61:J62"/>
    <mergeCell ref="C63:D63"/>
    <mergeCell ref="E63:J63"/>
    <mergeCell ref="E58:J58"/>
    <mergeCell ref="E59:J59"/>
    <mergeCell ref="C59:D59"/>
    <mergeCell ref="C58:D58"/>
    <mergeCell ref="C57:D57"/>
    <mergeCell ref="C53:D53"/>
    <mergeCell ref="C54:D54"/>
    <mergeCell ref="C55:D55"/>
    <mergeCell ref="E49:J49"/>
    <mergeCell ref="E50:J50"/>
    <mergeCell ref="E51:J51"/>
    <mergeCell ref="E52:J52"/>
    <mergeCell ref="E53:J53"/>
    <mergeCell ref="E54:J54"/>
    <mergeCell ref="E55:J55"/>
    <mergeCell ref="B104:B105"/>
    <mergeCell ref="C104:D105"/>
    <mergeCell ref="E104:F105"/>
    <mergeCell ref="G104:G105"/>
    <mergeCell ref="H104:H105"/>
    <mergeCell ref="I111:J111"/>
    <mergeCell ref="I112:J112"/>
    <mergeCell ref="I106:J106"/>
    <mergeCell ref="I107:J107"/>
    <mergeCell ref="I109:J110"/>
    <mergeCell ref="I104:J105"/>
    <mergeCell ref="C111:D111"/>
    <mergeCell ref="C112:D112"/>
    <mergeCell ref="C106:D106"/>
    <mergeCell ref="C107:D107"/>
    <mergeCell ref="E111:F111"/>
    <mergeCell ref="E112:F112"/>
    <mergeCell ref="E106:F106"/>
    <mergeCell ref="E107:F107"/>
    <mergeCell ref="B109:B110"/>
    <mergeCell ref="C109:D110"/>
    <mergeCell ref="E109:F110"/>
    <mergeCell ref="G109:G110"/>
    <mergeCell ref="H109:H110"/>
    <mergeCell ref="A102:J102"/>
    <mergeCell ref="B108:J108"/>
    <mergeCell ref="B103:J103"/>
    <mergeCell ref="G98:J98"/>
    <mergeCell ref="G99:J99"/>
    <mergeCell ref="C98:D98"/>
    <mergeCell ref="C99:D99"/>
    <mergeCell ref="C92:D92"/>
    <mergeCell ref="C93:D93"/>
    <mergeCell ref="C94:D94"/>
    <mergeCell ref="C95:D95"/>
    <mergeCell ref="C96:D96"/>
    <mergeCell ref="C97:D97"/>
    <mergeCell ref="E97:F97"/>
    <mergeCell ref="E98:F98"/>
    <mergeCell ref="E99:F99"/>
    <mergeCell ref="C33:C34"/>
    <mergeCell ref="B33:B34"/>
    <mergeCell ref="B46:B47"/>
    <mergeCell ref="C46:D47"/>
    <mergeCell ref="E46:J47"/>
    <mergeCell ref="C48:D48"/>
    <mergeCell ref="E48:J48"/>
    <mergeCell ref="C49:D49"/>
    <mergeCell ref="C50:D50"/>
    <mergeCell ref="C51:D51"/>
    <mergeCell ref="C52:D52"/>
    <mergeCell ref="C85:D85"/>
    <mergeCell ref="C86:D86"/>
    <mergeCell ref="C87:D87"/>
    <mergeCell ref="G100:J100"/>
    <mergeCell ref="E100:F100"/>
    <mergeCell ref="G92:J92"/>
    <mergeCell ref="G93:J93"/>
    <mergeCell ref="G94:J94"/>
    <mergeCell ref="G95:J95"/>
    <mergeCell ref="G96:J96"/>
    <mergeCell ref="G97:J97"/>
    <mergeCell ref="E92:F92"/>
    <mergeCell ref="E93:F93"/>
    <mergeCell ref="E94:F94"/>
    <mergeCell ref="E95:F95"/>
    <mergeCell ref="E96:F96"/>
    <mergeCell ref="G84:J84"/>
    <mergeCell ref="E85:F85"/>
    <mergeCell ref="E86:F86"/>
    <mergeCell ref="E88:F88"/>
    <mergeCell ref="E87:F87"/>
    <mergeCell ref="G85:J85"/>
    <mergeCell ref="G86:J86"/>
    <mergeCell ref="G87:J87"/>
    <mergeCell ref="G88:J88"/>
    <mergeCell ref="B90:B91"/>
    <mergeCell ref="C90:D91"/>
    <mergeCell ref="E90:F91"/>
    <mergeCell ref="G90:J91"/>
    <mergeCell ref="B89:J89"/>
    <mergeCell ref="F33:F34"/>
    <mergeCell ref="G80:J80"/>
    <mergeCell ref="G81:J81"/>
    <mergeCell ref="G82:J82"/>
    <mergeCell ref="G83:J83"/>
    <mergeCell ref="B77:J77"/>
    <mergeCell ref="A76:J76"/>
    <mergeCell ref="E33:E34"/>
    <mergeCell ref="D33:D34"/>
    <mergeCell ref="E78:F79"/>
    <mergeCell ref="E80:F80"/>
    <mergeCell ref="E81:F81"/>
    <mergeCell ref="E82:F82"/>
    <mergeCell ref="E83:F83"/>
    <mergeCell ref="G78:J79"/>
    <mergeCell ref="A33:A34"/>
    <mergeCell ref="E84:F84"/>
    <mergeCell ref="C78:D79"/>
    <mergeCell ref="B78:B79"/>
    <mergeCell ref="C80:D80"/>
    <mergeCell ref="C81:D81"/>
    <mergeCell ref="C82:D82"/>
    <mergeCell ref="C83:D83"/>
    <mergeCell ref="C84:D84"/>
  </mergeCells>
  <phoneticPr fontId="4" type="noConversion"/>
  <pageMargins left="0.7" right="0.7" top="0.75" bottom="0.75" header="0.3" footer="0.3"/>
  <pageSetup paperSize="9"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63998A-D493-AB4E-935D-36C7B679BFAD}">
  <sheetPr codeName="Tabelle2"/>
  <dimension ref="A1:C11"/>
  <sheetViews>
    <sheetView workbookViewId="0">
      <selection activeCell="F29" sqref="F29"/>
    </sheetView>
  </sheetViews>
  <sheetFormatPr baseColWidth="10" defaultRowHeight="15" x14ac:dyDescent="0.2"/>
  <cols>
    <col min="1" max="2" width="22.5" customWidth="1"/>
  </cols>
  <sheetData>
    <row r="1" spans="1:3" x14ac:dyDescent="0.2">
      <c r="A1" s="1" t="s">
        <v>34</v>
      </c>
      <c r="B1" s="1"/>
    </row>
    <row r="2" spans="1:3" x14ac:dyDescent="0.2">
      <c r="A2" s="134">
        <f>Berechnungen!B35+Berechnungen!C35</f>
        <v>200</v>
      </c>
      <c r="B2" s="134"/>
      <c r="C2" s="135"/>
    </row>
    <row r="3" spans="1:3" x14ac:dyDescent="0.2">
      <c r="A3" s="134">
        <f>Berechnungen!B36+Berechnungen!C36</f>
        <v>600</v>
      </c>
      <c r="B3" s="134"/>
      <c r="C3" s="135"/>
    </row>
    <row r="4" spans="1:3" x14ac:dyDescent="0.2">
      <c r="A4" s="134">
        <f>Berechnungen!B37+Berechnungen!C37</f>
        <v>200</v>
      </c>
      <c r="B4" s="134"/>
      <c r="C4" s="135"/>
    </row>
    <row r="5" spans="1:3" x14ac:dyDescent="0.2">
      <c r="A5" s="134">
        <f>Berechnungen!B38+Berechnungen!C38</f>
        <v>500</v>
      </c>
      <c r="B5" s="134"/>
      <c r="C5" s="135"/>
    </row>
    <row r="6" spans="1:3" x14ac:dyDescent="0.2">
      <c r="A6" s="134">
        <f>Berechnungen!B39+Berechnungen!C39</f>
        <v>500</v>
      </c>
      <c r="B6" s="134"/>
      <c r="C6" s="135"/>
    </row>
    <row r="7" spans="1:3" x14ac:dyDescent="0.2">
      <c r="A7" s="134">
        <f>Berechnungen!B40+Berechnungen!C40</f>
        <v>0</v>
      </c>
      <c r="B7" s="134"/>
      <c r="C7" s="135"/>
    </row>
    <row r="8" spans="1:3" x14ac:dyDescent="0.2">
      <c r="A8" s="134">
        <f>Berechnungen!B41+Berechnungen!C41</f>
        <v>0</v>
      </c>
      <c r="B8" s="134"/>
      <c r="C8" s="135"/>
    </row>
    <row r="9" spans="1:3" x14ac:dyDescent="0.2">
      <c r="A9" s="134">
        <f>Berechnungen!B42+Berechnungen!C42</f>
        <v>0</v>
      </c>
      <c r="B9" s="134"/>
      <c r="C9" s="135"/>
    </row>
    <row r="10" spans="1:3" x14ac:dyDescent="0.2">
      <c r="A10" s="135">
        <v>500</v>
      </c>
      <c r="B10" s="135"/>
      <c r="C10" s="135"/>
    </row>
    <row r="11" spans="1:3" x14ac:dyDescent="0.2">
      <c r="A11" s="136">
        <f>MAX(A2:A10)</f>
        <v>600</v>
      </c>
      <c r="B11" s="136" cm="1">
        <f t="array" ref="B11">MAX(Berechnungen!D35:D42 + Berechnungen!E35:E42)</f>
        <v>400</v>
      </c>
      <c r="C11" s="135">
        <f>MAX(A11:B11)</f>
        <v>600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Berechnungen</vt:lpstr>
      <vt:lpstr>DiagrammDimensionen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Meile Jeremy</cp:lastModifiedBy>
  <dcterms:created xsi:type="dcterms:W3CDTF">2024-09-08T13:33:25Z</dcterms:created>
  <dcterms:modified xsi:type="dcterms:W3CDTF">2024-09-10T10:47:46Z</dcterms:modified>
</cp:coreProperties>
</file>