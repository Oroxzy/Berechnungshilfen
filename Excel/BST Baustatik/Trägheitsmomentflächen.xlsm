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orozxy\Documents\Berechnungshilfen\Excel\BST Baustatik\"/>
    </mc:Choice>
  </mc:AlternateContent>
  <xr:revisionPtr revIDLastSave="0" documentId="13_ncr:1_{D3FFC864-DF62-4817-B420-C28F5B6FFCD0}" xr6:coauthVersionLast="47" xr6:coauthVersionMax="47" xr10:uidLastSave="{00000000-0000-0000-0000-000000000000}"/>
  <bookViews>
    <workbookView xWindow="8295" yWindow="750" windowWidth="28575" windowHeight="19860" xr2:uid="{00000000-000D-0000-FFFF-FFFF00000000}"/>
  </bookViews>
  <sheets>
    <sheet name="Berechnunge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3" i="1" l="1"/>
  <c r="E134" i="1" s="1"/>
  <c r="F105" i="1" a="1"/>
  <c r="F105" i="1" s="1"/>
  <c r="F104" i="1" a="1"/>
  <c r="F104" i="1" s="1"/>
  <c r="L28" i="1" s="1"/>
  <c r="F110" i="1" a="1"/>
  <c r="F110" i="1" s="1"/>
  <c r="F109" i="1" a="1"/>
  <c r="F109" i="1" s="1"/>
  <c r="L29" i="1" s="1"/>
  <c r="H36" i="1" l="1"/>
  <c r="H37" i="1"/>
  <c r="H38" i="1"/>
  <c r="H39" i="1"/>
  <c r="H40" i="1"/>
  <c r="H41" i="1"/>
  <c r="H42" i="1"/>
  <c r="H35" i="1"/>
  <c r="P97" i="1"/>
  <c r="O97" i="1"/>
  <c r="N97" i="1"/>
  <c r="M97" i="1"/>
  <c r="L97" i="1"/>
  <c r="P85" i="1"/>
  <c r="O85" i="1"/>
  <c r="N85" i="1"/>
  <c r="M85" i="1"/>
  <c r="L85" i="1"/>
  <c r="P96" i="1"/>
  <c r="O96" i="1"/>
  <c r="N96" i="1"/>
  <c r="M96" i="1"/>
  <c r="L96" i="1"/>
  <c r="P84" i="1"/>
  <c r="O84" i="1"/>
  <c r="N84" i="1"/>
  <c r="M84" i="1"/>
  <c r="L84" i="1"/>
  <c r="P95" i="1"/>
  <c r="O95" i="1"/>
  <c r="N95" i="1"/>
  <c r="M95" i="1"/>
  <c r="L95" i="1"/>
  <c r="P83" i="1"/>
  <c r="O83" i="1"/>
  <c r="N83" i="1"/>
  <c r="M83" i="1"/>
  <c r="L83" i="1"/>
  <c r="F69" i="1" l="1"/>
  <c r="D69" i="1"/>
  <c r="F68" i="1"/>
  <c r="D68" i="1"/>
  <c r="D64" i="1"/>
  <c r="F64" i="1"/>
  <c r="F63" i="1"/>
  <c r="D63" i="1"/>
  <c r="D67" i="1"/>
  <c r="F67" i="1"/>
  <c r="F66" i="1"/>
  <c r="D66" i="1"/>
  <c r="F65" i="1"/>
  <c r="D65" i="1"/>
  <c r="F72" i="1"/>
  <c r="F71" i="1"/>
  <c r="F62" i="1"/>
  <c r="D71" i="1"/>
  <c r="D62" i="1"/>
  <c r="F50" i="1"/>
  <c r="D50" i="1"/>
  <c r="D53" i="1"/>
  <c r="F53" i="1"/>
  <c r="F49" i="1"/>
  <c r="D49" i="1"/>
  <c r="D54" i="1"/>
  <c r="F54" i="1"/>
  <c r="D52" i="1"/>
  <c r="F52" i="1"/>
  <c r="F58" i="1"/>
  <c r="F57" i="1"/>
  <c r="F48" i="1"/>
  <c r="D48" i="1"/>
  <c r="F51" i="1"/>
  <c r="D51" i="1"/>
  <c r="D55" i="1"/>
  <c r="F55" i="1"/>
  <c r="D57" i="1"/>
  <c r="E135" i="1" s="1"/>
  <c r="L79" i="1"/>
  <c r="M79" i="1"/>
  <c r="N79" i="1"/>
  <c r="O79" i="1"/>
  <c r="P79" i="1"/>
  <c r="L91" i="1"/>
  <c r="M91" i="1"/>
  <c r="N91" i="1"/>
  <c r="O91" i="1"/>
  <c r="P91" i="1"/>
  <c r="L80" i="1"/>
  <c r="M80" i="1"/>
  <c r="N80" i="1"/>
  <c r="O80" i="1"/>
  <c r="P80" i="1"/>
  <c r="L92" i="1"/>
  <c r="M92" i="1"/>
  <c r="N92" i="1"/>
  <c r="O92" i="1"/>
  <c r="P92" i="1"/>
  <c r="L81" i="1"/>
  <c r="M81" i="1"/>
  <c r="N81" i="1"/>
  <c r="O81" i="1"/>
  <c r="P81" i="1"/>
  <c r="L93" i="1"/>
  <c r="M93" i="1"/>
  <c r="N93" i="1"/>
  <c r="O93" i="1"/>
  <c r="P93" i="1"/>
  <c r="L82" i="1"/>
  <c r="M82" i="1"/>
  <c r="N82" i="1"/>
  <c r="O82" i="1"/>
  <c r="P82" i="1"/>
  <c r="L94" i="1"/>
  <c r="M94" i="1"/>
  <c r="N94" i="1"/>
  <c r="O94" i="1"/>
  <c r="P94" i="1"/>
  <c r="P90" i="1"/>
  <c r="O90" i="1"/>
  <c r="N90" i="1"/>
  <c r="M90" i="1"/>
  <c r="L90" i="1"/>
  <c r="P78" i="1"/>
  <c r="O78" i="1"/>
  <c r="N78" i="1"/>
  <c r="M78" i="1"/>
  <c r="L78" i="1"/>
  <c r="D56" i="1" l="1"/>
  <c r="D58" i="1" s="1"/>
  <c r="N28" i="1" l="1"/>
  <c r="M28" i="1"/>
  <c r="D78" i="1"/>
  <c r="H78" i="1" s="1"/>
  <c r="D110" i="1"/>
  <c r="H110" i="1" s="1"/>
  <c r="D81" i="1"/>
  <c r="F81" i="1" s="1"/>
  <c r="D80" i="1"/>
  <c r="H80" i="1" s="1"/>
  <c r="D83" i="1"/>
  <c r="F83" i="1" s="1"/>
  <c r="D82" i="1"/>
  <c r="F82" i="1" s="1"/>
  <c r="D109" i="1"/>
  <c r="D79" i="1"/>
  <c r="F79" i="1" s="1"/>
  <c r="D85" i="1"/>
  <c r="D84" i="1"/>
  <c r="F84" i="1" s="1"/>
  <c r="D70" i="1"/>
  <c r="H83" i="1" l="1"/>
  <c r="H84" i="1"/>
  <c r="H109" i="1"/>
  <c r="D72" i="1"/>
  <c r="D104" i="1" s="1"/>
  <c r="F85" i="1"/>
  <c r="F78" i="1"/>
  <c r="H85" i="1"/>
  <c r="H81" i="1"/>
  <c r="F80" i="1"/>
  <c r="H79" i="1"/>
  <c r="H82" i="1"/>
  <c r="D97" i="1" l="1"/>
  <c r="H97" i="1" s="1"/>
  <c r="D91" i="1"/>
  <c r="F91" i="1" s="1"/>
  <c r="D105" i="1"/>
  <c r="H105" i="1" s="1"/>
  <c r="F86" i="1"/>
  <c r="D96" i="1"/>
  <c r="H96" i="1" s="1"/>
  <c r="H104" i="1"/>
  <c r="D94" i="1"/>
  <c r="F94" i="1" s="1"/>
  <c r="D93" i="1"/>
  <c r="F93" i="1" s="1"/>
  <c r="D95" i="1"/>
  <c r="F95" i="1" s="1"/>
  <c r="D90" i="1"/>
  <c r="H90" i="1" s="1"/>
  <c r="D92" i="1"/>
  <c r="H92" i="1" s="1"/>
  <c r="J124" i="1"/>
  <c r="J118" i="1"/>
  <c r="N29" i="1"/>
  <c r="M29" i="1"/>
  <c r="H91" i="1"/>
  <c r="F97" i="1" l="1"/>
  <c r="H86" i="1"/>
  <c r="D128" i="1"/>
  <c r="D131" i="1" s="1"/>
  <c r="H124" i="1"/>
  <c r="F123" i="1"/>
  <c r="H123" i="1"/>
  <c r="J123" i="1" s="1"/>
  <c r="F96" i="1"/>
  <c r="J110" i="1"/>
  <c r="I109" i="1"/>
  <c r="I110" i="1"/>
  <c r="J109" i="1"/>
  <c r="F124" i="1"/>
  <c r="H95" i="1"/>
  <c r="F90" i="1"/>
  <c r="F92" i="1"/>
  <c r="H94" i="1"/>
  <c r="H93" i="1"/>
  <c r="F98" i="1" l="1"/>
  <c r="H118" i="1" s="1"/>
  <c r="F117" i="1" l="1"/>
  <c r="J105" i="1"/>
  <c r="I104" i="1"/>
  <c r="J104" i="1"/>
  <c r="H117" i="1"/>
  <c r="F118" i="1"/>
  <c r="H98" i="1"/>
  <c r="I10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<sst xmlns="http://schemas.openxmlformats.org/spreadsheetml/2006/main" count="144" uniqueCount="90">
  <si>
    <t>start y</t>
  </si>
  <si>
    <t>start z</t>
  </si>
  <si>
    <t>y1</t>
  </si>
  <si>
    <t>y2</t>
  </si>
  <si>
    <t>y3</t>
  </si>
  <si>
    <t>y4</t>
  </si>
  <si>
    <t>y5</t>
  </si>
  <si>
    <t>z1</t>
  </si>
  <si>
    <t>z2</t>
  </si>
  <si>
    <t>z3</t>
  </si>
  <si>
    <t>z4</t>
  </si>
  <si>
    <t>z5</t>
  </si>
  <si>
    <t>achse y</t>
  </si>
  <si>
    <t>achse z</t>
  </si>
  <si>
    <t>Iy</t>
  </si>
  <si>
    <t>Iz</t>
  </si>
  <si>
    <t>ende y</t>
  </si>
  <si>
    <t>ende z</t>
  </si>
  <si>
    <t>Achse Y</t>
  </si>
  <si>
    <t>Achse Z</t>
  </si>
  <si>
    <t>meile.jeremy@stud.bauschule.ch</t>
  </si>
  <si>
    <t>Lösungsweg</t>
  </si>
  <si>
    <t>Flächenschwerpunkt</t>
  </si>
  <si>
    <t>Iz zu berechnen. Schreibe die Lösungswege und Ergebnisse aus den gelben Feldern ab.</t>
  </si>
  <si>
    <t>Du kannst in der Grafik visuell überprüfen, ob sie richtig aufgebaut sind wie in der Aufgabenstellung.</t>
  </si>
  <si>
    <t>Der Flächenschwerpunkt wird automatisch berechnet, und die Achsen werden gesetzt, um die Trägheitsmomente Iy und </t>
  </si>
  <si>
    <t>Fläche</t>
  </si>
  <si>
    <t>W</t>
  </si>
  <si>
    <t>Position</t>
  </si>
  <si>
    <t>Summe</t>
  </si>
  <si>
    <t>Flächenschwerpunkt Berechnung für Achse Z</t>
  </si>
  <si>
    <t>Flächenschwerpunkt Berechnung für Achse Y</t>
  </si>
  <si>
    <t>Flächen</t>
  </si>
  <si>
    <t>Dividend</t>
  </si>
  <si>
    <t>Biegerandspannung</t>
  </si>
  <si>
    <t>Mz,d</t>
  </si>
  <si>
    <t>My,d</t>
  </si>
  <si>
    <t xml:space="preserve">Biegerandspannung Y σb
​	
 </t>
  </si>
  <si>
    <t>Biegerandspannung Z σb</t>
  </si>
  <si>
    <t>σMo (Oben)</t>
  </si>
  <si>
    <t>σMu (Unten)</t>
  </si>
  <si>
    <t>kNm</t>
  </si>
  <si>
    <t>Biegerandspannung (N/mm²)</t>
  </si>
  <si>
    <t>Wz,links​</t>
  </si>
  <si>
    <t>Wz,rechts​</t>
  </si>
  <si>
    <t>Wy,oben​</t>
  </si>
  <si>
    <t>Wy,unten​</t>
  </si>
  <si>
    <t>Ymax,rechts</t>
  </si>
  <si>
    <t>iy=</t>
  </si>
  <si>
    <t>oben unten gelenkig</t>
  </si>
  <si>
    <t>stützenlänge</t>
  </si>
  <si>
    <t>mm</t>
  </si>
  <si>
    <t>λ</t>
  </si>
  <si>
    <t>A1</t>
  </si>
  <si>
    <t>A2</t>
  </si>
  <si>
    <t>A3</t>
  </si>
  <si>
    <t>A4</t>
  </si>
  <si>
    <t>A5</t>
  </si>
  <si>
    <t>A6</t>
  </si>
  <si>
    <t>A7</t>
  </si>
  <si>
    <t>A8</t>
  </si>
  <si>
    <t>Form</t>
  </si>
  <si>
    <t xml:space="preserve">Erstelle mit den roten Feldern unten bis zu 8 Formen die eine Figur ergeben. </t>
  </si>
  <si>
    <t>Ymax,links</t>
  </si>
  <si>
    <t>Zmax,oben</t>
  </si>
  <si>
    <t>Zmax,unten</t>
  </si>
  <si>
    <t>Höhe der Figur</t>
  </si>
  <si>
    <t>Breite der Figur</t>
  </si>
  <si>
    <t>Die maximale Dimension des Diagramms wird automatisch an die Figur angepasst.</t>
  </si>
  <si>
    <t>Trägheitsmoment Iy</t>
  </si>
  <si>
    <t>Trägheitsmoment Iz</t>
  </si>
  <si>
    <t>σMo (Rechts)</t>
  </si>
  <si>
    <t>σMu (Links)</t>
  </si>
  <si>
    <t>Position der Form von links (y)</t>
  </si>
  <si>
    <t>Position der Form von unten (z)</t>
  </si>
  <si>
    <t>Höhe der Form (z)</t>
  </si>
  <si>
    <t>Länge der Form (y)</t>
  </si>
  <si>
    <t>Distanz von Figurenachse zur Achse Z</t>
  </si>
  <si>
    <t>Distanz von Figurenachse zur Achse Y</t>
  </si>
  <si>
    <t>Widerstandsmoment</t>
  </si>
  <si>
    <t>Widerstandsmoment Wy</t>
  </si>
  <si>
    <t>Widerstandsmoment Wz</t>
  </si>
  <si>
    <t>Flächenträgheitsmoment (Satz von Steiner)</t>
  </si>
  <si>
    <t>ΦK</t>
  </si>
  <si>
    <t>Stahlsorte S</t>
  </si>
  <si>
    <t>kN</t>
  </si>
  <si>
    <r>
      <t>Imperfektionsbeiwert</t>
    </r>
    <r>
      <rPr>
        <sz val="14"/>
        <color theme="0"/>
        <rFont val="-webkit-standard"/>
      </rPr>
      <t> </t>
    </r>
    <r>
      <rPr>
        <sz val="11"/>
        <color theme="0"/>
        <rFont val="Calibri"/>
        <family val="2"/>
        <scheme val="minor"/>
      </rPr>
      <t>αK=</t>
    </r>
  </si>
  <si>
    <r>
      <t>Abminderungsfaktors</t>
    </r>
    <r>
      <rPr>
        <sz val="14"/>
        <color theme="0"/>
        <rFont val="-webkit-standard"/>
      </rPr>
      <t> </t>
    </r>
    <r>
      <rPr>
        <sz val="11"/>
        <color theme="0"/>
        <rFont val="Calibri"/>
        <family val="2"/>
        <scheme val="minor"/>
      </rPr>
      <t>χK​</t>
    </r>
  </si>
  <si>
    <r>
      <t>Tragwiderstands</t>
    </r>
    <r>
      <rPr>
        <sz val="14"/>
        <color theme="0"/>
        <rFont val="-webkit-standard"/>
      </rPr>
      <t> </t>
    </r>
    <r>
      <rPr>
        <sz val="11"/>
        <color theme="0"/>
        <rFont val="Calibri"/>
        <family val="2"/>
        <scheme val="minor"/>
      </rPr>
      <t>NK,Rd</t>
    </r>
  </si>
  <si>
    <t xml:space="preserve">Flächenschwerpunkt, Flächenträgheitsmoment, Widerstandsmoment																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</si>
</sst>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[Red]#,##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ptos"/>
    </font>
    <font>
      <b/>
      <sz val="14"/>
      <color theme="0"/>
      <name val="Aptos"/>
    </font>
    <font>
      <b/>
      <sz val="11"/>
      <color theme="1"/>
      <name val="Aptos"/>
    </font>
    <font>
      <sz val="11"/>
      <color theme="0"/>
      <name val="Aptos"/>
    </font>
    <font>
      <sz val="12"/>
      <color rgb="FF3F3F76"/>
      <name val="Aptos"/>
    </font>
    <font>
      <b/>
      <sz val="14"/>
      <color theme="1"/>
      <name val="Helvetica"/>
      <family val="2"/>
    </font>
    <font>
      <b/>
      <sz val="12"/>
      <color rgb="FF3F3F3F"/>
      <name val="Calibri"/>
      <family val="2"/>
      <scheme val="minor"/>
    </font>
    <font>
      <sz val="10"/>
      <color theme="1"/>
      <name val="Aptos"/>
    </font>
    <font>
      <sz val="11"/>
      <color rgb="FF000000"/>
      <name val="Calibri"/>
      <family val="2"/>
      <scheme val="minor"/>
    </font>
    <font>
      <sz val="14"/>
      <color theme="0"/>
      <name val="-webkit-standard"/>
    </font>
    <font>
      <b/>
      <sz val="14"/>
      <color theme="1"/>
      <name val="Aptos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/>
      <bottom style="thin">
        <color rgb="FF3F3F3F"/>
      </bottom>
      <diagonal/>
    </border>
    <border>
      <left style="thin">
        <color rgb="FF3F3F3F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rgb="FF3F3F3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B2B2B2"/>
      </top>
      <bottom style="medium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thin">
        <color rgb="FF7F7F7F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2" applyNumberFormat="0" applyFont="0" applyAlignment="0" applyProtection="0"/>
    <xf numFmtId="0" fontId="11" fillId="3" borderId="15" applyNumberFormat="0" applyAlignment="0" applyProtection="0"/>
  </cellStyleXfs>
  <cellXfs count="122">
    <xf numFmtId="0" fontId="0" fillId="0" borderId="0" xfId="0"/>
    <xf numFmtId="0" fontId="6" fillId="6" borderId="5" xfId="0" applyFont="1" applyFill="1" applyBorder="1"/>
    <xf numFmtId="0" fontId="6" fillId="6" borderId="6" xfId="0" applyFont="1" applyFill="1" applyBorder="1"/>
    <xf numFmtId="0" fontId="6" fillId="6" borderId="7" xfId="0" applyFont="1" applyFill="1" applyBorder="1"/>
    <xf numFmtId="0" fontId="8" fillId="0" borderId="0" xfId="0" applyFont="1"/>
    <xf numFmtId="0" fontId="5" fillId="0" borderId="0" xfId="0" applyFont="1"/>
    <xf numFmtId="0" fontId="10" fillId="0" borderId="0" xfId="0" applyFont="1"/>
    <xf numFmtId="3" fontId="5" fillId="0" borderId="0" xfId="0" applyNumberFormat="1" applyFont="1"/>
    <xf numFmtId="3" fontId="8" fillId="0" borderId="0" xfId="0" applyNumberFormat="1" applyFont="1"/>
    <xf numFmtId="0" fontId="7" fillId="0" borderId="8" xfId="0" applyFont="1" applyBorder="1"/>
    <xf numFmtId="4" fontId="11" fillId="3" borderId="28" xfId="4" applyNumberFormat="1" applyBorder="1" applyProtection="1"/>
    <xf numFmtId="4" fontId="11" fillId="3" borderId="21" xfId="4" applyNumberFormat="1" applyBorder="1" applyProtection="1"/>
    <xf numFmtId="0" fontId="7" fillId="0" borderId="10" xfId="0" applyFont="1" applyBorder="1"/>
    <xf numFmtId="4" fontId="11" fillId="3" borderId="22" xfId="4" applyNumberFormat="1" applyBorder="1" applyProtection="1"/>
    <xf numFmtId="0" fontId="8" fillId="0" borderId="0" xfId="0" applyFont="1" applyAlignment="1">
      <alignment horizontal="right"/>
    </xf>
    <xf numFmtId="0" fontId="5" fillId="0" borderId="8" xfId="0" applyFont="1" applyBorder="1"/>
    <xf numFmtId="0" fontId="7" fillId="0" borderId="5" xfId="0" applyFont="1" applyBorder="1"/>
    <xf numFmtId="0" fontId="5" fillId="0" borderId="6" xfId="0" applyFont="1" applyBorder="1"/>
    <xf numFmtId="0" fontId="8" fillId="0" borderId="45" xfId="0" applyFont="1" applyBorder="1"/>
    <xf numFmtId="0" fontId="5" fillId="0" borderId="5" xfId="0" applyFont="1" applyBorder="1"/>
    <xf numFmtId="0" fontId="2" fillId="2" borderId="56" xfId="1" applyBorder="1" applyProtection="1">
      <protection locked="0"/>
    </xf>
    <xf numFmtId="4" fontId="8" fillId="0" borderId="0" xfId="0" applyNumberFormat="1" applyFont="1"/>
    <xf numFmtId="0" fontId="13" fillId="0" borderId="8" xfId="0" applyFont="1" applyBorder="1"/>
    <xf numFmtId="0" fontId="13" fillId="0" borderId="10" xfId="0" applyFont="1" applyBorder="1"/>
    <xf numFmtId="164" fontId="9" fillId="7" borderId="3" xfId="1" applyNumberFormat="1" applyFont="1" applyFill="1" applyBorder="1" applyProtection="1">
      <protection locked="0"/>
    </xf>
    <xf numFmtId="164" fontId="9" fillId="7" borderId="58" xfId="1" applyNumberFormat="1" applyFont="1" applyFill="1" applyBorder="1" applyProtection="1">
      <protection locked="0"/>
    </xf>
    <xf numFmtId="0" fontId="14" fillId="0" borderId="0" xfId="0" applyFont="1"/>
    <xf numFmtId="4" fontId="11" fillId="3" borderId="15" xfId="4" applyNumberFormat="1" applyAlignment="1">
      <alignment horizontal="right"/>
    </xf>
    <xf numFmtId="0" fontId="7" fillId="8" borderId="8" xfId="0" applyFont="1" applyFill="1" applyBorder="1"/>
    <xf numFmtId="0" fontId="7" fillId="8" borderId="10" xfId="0" applyFont="1" applyFill="1" applyBorder="1"/>
    <xf numFmtId="4" fontId="11" fillId="3" borderId="17" xfId="4" applyNumberFormat="1" applyBorder="1" applyAlignment="1">
      <alignment horizontal="right"/>
    </xf>
    <xf numFmtId="4" fontId="11" fillId="3" borderId="27" xfId="4" applyNumberFormat="1" applyBorder="1" applyAlignment="1">
      <alignment horizontal="right"/>
    </xf>
    <xf numFmtId="164" fontId="9" fillId="7" borderId="59" xfId="1" applyNumberFormat="1" applyFont="1" applyFill="1" applyBorder="1" applyProtection="1">
      <protection locked="0"/>
    </xf>
    <xf numFmtId="164" fontId="9" fillId="7" borderId="60" xfId="1" applyNumberFormat="1" applyFont="1" applyFill="1" applyBorder="1" applyProtection="1">
      <protection locked="0"/>
    </xf>
    <xf numFmtId="4" fontId="3" fillId="3" borderId="1" xfId="2" applyNumberFormat="1" applyAlignment="1">
      <alignment horizontal="right"/>
    </xf>
    <xf numFmtId="4" fontId="3" fillId="3" borderId="12" xfId="2" applyNumberFormat="1" applyBorder="1" applyAlignment="1">
      <alignment horizontal="right"/>
    </xf>
    <xf numFmtId="0" fontId="15" fillId="0" borderId="0" xfId="0" applyFont="1" applyAlignment="1">
      <alignment vertical="top" wrapText="1"/>
    </xf>
    <xf numFmtId="0" fontId="16" fillId="0" borderId="0" xfId="0" applyFont="1"/>
    <xf numFmtId="0" fontId="17" fillId="0" borderId="0" xfId="0" applyFont="1"/>
    <xf numFmtId="4" fontId="11" fillId="3" borderId="51" xfId="4" applyNumberFormat="1" applyBorder="1" applyAlignment="1">
      <alignment horizontal="right"/>
    </xf>
    <xf numFmtId="4" fontId="11" fillId="3" borderId="52" xfId="4" applyNumberFormat="1" applyBorder="1" applyAlignment="1">
      <alignment horizontal="right"/>
    </xf>
    <xf numFmtId="4" fontId="11" fillId="3" borderId="42" xfId="4" applyNumberFormat="1" applyBorder="1" applyAlignment="1">
      <alignment horizontal="right"/>
    </xf>
    <xf numFmtId="4" fontId="11" fillId="3" borderId="47" xfId="4" applyNumberFormat="1" applyBorder="1" applyAlignment="1">
      <alignment horizontal="right"/>
    </xf>
    <xf numFmtId="0" fontId="5" fillId="0" borderId="18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4" fontId="5" fillId="4" borderId="29" xfId="3" applyNumberFormat="1" applyFont="1" applyBorder="1" applyAlignment="1" applyProtection="1">
      <alignment horizontal="left"/>
    </xf>
    <xf numFmtId="4" fontId="5" fillId="4" borderId="0" xfId="3" applyNumberFormat="1" applyFont="1" applyBorder="1" applyAlignment="1" applyProtection="1">
      <alignment horizontal="left"/>
    </xf>
    <xf numFmtId="4" fontId="5" fillId="4" borderId="45" xfId="3" applyNumberFormat="1" applyFont="1" applyBorder="1" applyAlignment="1" applyProtection="1">
      <alignment horizontal="left"/>
    </xf>
    <xf numFmtId="4" fontId="5" fillId="4" borderId="57" xfId="3" applyNumberFormat="1" applyFont="1" applyBorder="1" applyAlignment="1" applyProtection="1">
      <alignment horizontal="left"/>
    </xf>
    <xf numFmtId="4" fontId="5" fillId="4" borderId="24" xfId="3" applyNumberFormat="1" applyFont="1" applyBorder="1" applyAlignment="1" applyProtection="1">
      <alignment horizontal="left"/>
    </xf>
    <xf numFmtId="4" fontId="5" fillId="4" borderId="25" xfId="3" applyNumberFormat="1" applyFont="1" applyBorder="1" applyAlignment="1" applyProtection="1">
      <alignment horizontal="left"/>
    </xf>
    <xf numFmtId="0" fontId="7" fillId="5" borderId="5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7" xfId="0" applyFont="1" applyFill="1" applyBorder="1" applyAlignment="1">
      <alignment horizontal="left"/>
    </xf>
    <xf numFmtId="0" fontId="5" fillId="0" borderId="16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4" fontId="11" fillId="3" borderId="54" xfId="4" applyNumberFormat="1" applyBorder="1" applyAlignment="1">
      <alignment horizontal="right"/>
    </xf>
    <xf numFmtId="4" fontId="11" fillId="3" borderId="55" xfId="4" applyNumberForma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3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4" fontId="5" fillId="4" borderId="40" xfId="3" applyNumberFormat="1" applyFont="1" applyBorder="1" applyAlignment="1" applyProtection="1">
      <alignment horizontal="left"/>
    </xf>
    <xf numFmtId="4" fontId="5" fillId="4" borderId="41" xfId="3" applyNumberFormat="1" applyFont="1" applyBorder="1" applyAlignment="1" applyProtection="1">
      <alignment horizontal="left"/>
    </xf>
    <xf numFmtId="4" fontId="5" fillId="4" borderId="46" xfId="3" applyNumberFormat="1" applyFont="1" applyBorder="1" applyAlignment="1" applyProtection="1">
      <alignment horizontal="left"/>
    </xf>
    <xf numFmtId="0" fontId="7" fillId="5" borderId="5" xfId="0" applyFont="1" applyFill="1" applyBorder="1" applyAlignment="1">
      <alignment horizontal="left" wrapText="1"/>
    </xf>
    <xf numFmtId="0" fontId="6" fillId="6" borderId="5" xfId="0" applyFont="1" applyFill="1" applyBorder="1" applyAlignment="1">
      <alignment horizontal="left"/>
    </xf>
    <xf numFmtId="0" fontId="6" fillId="6" borderId="6" xfId="0" applyFont="1" applyFill="1" applyBorder="1" applyAlignment="1">
      <alignment horizontal="left"/>
    </xf>
    <xf numFmtId="0" fontId="6" fillId="6" borderId="7" xfId="0" applyFont="1" applyFill="1" applyBorder="1" applyAlignment="1">
      <alignment horizontal="left"/>
    </xf>
    <xf numFmtId="4" fontId="11" fillId="3" borderId="27" xfId="4" applyNumberFormat="1" applyBorder="1"/>
    <xf numFmtId="4" fontId="5" fillId="4" borderId="38" xfId="3" applyNumberFormat="1" applyFont="1" applyBorder="1" applyAlignment="1" applyProtection="1">
      <alignment horizontal="left"/>
    </xf>
    <xf numFmtId="4" fontId="5" fillId="4" borderId="39" xfId="3" applyNumberFormat="1" applyFont="1" applyBorder="1" applyAlignment="1" applyProtection="1">
      <alignment horizontal="left"/>
    </xf>
    <xf numFmtId="4" fontId="5" fillId="4" borderId="44" xfId="3" applyNumberFormat="1" applyFont="1" applyBorder="1" applyAlignment="1" applyProtection="1">
      <alignment horizontal="left"/>
    </xf>
    <xf numFmtId="4" fontId="11" fillId="3" borderId="17" xfId="4" applyNumberFormat="1" applyBorder="1" applyAlignment="1">
      <alignment horizontal="right"/>
    </xf>
    <xf numFmtId="4" fontId="11" fillId="3" borderId="15" xfId="4" applyNumberFormat="1" applyAlignment="1">
      <alignment horizontal="right"/>
    </xf>
    <xf numFmtId="4" fontId="5" fillId="4" borderId="40" xfId="3" applyNumberFormat="1" applyFont="1" applyBorder="1" applyAlignment="1" applyProtection="1">
      <alignment horizontal="left" wrapText="1"/>
    </xf>
    <xf numFmtId="4" fontId="11" fillId="3" borderId="15" xfId="4" applyNumberFormat="1"/>
    <xf numFmtId="4" fontId="11" fillId="3" borderId="15" xfId="4" applyNumberFormat="1" applyAlignment="1" applyProtection="1">
      <alignment horizontal="right"/>
    </xf>
    <xf numFmtId="4" fontId="11" fillId="3" borderId="26" xfId="4" applyNumberFormat="1" applyBorder="1" applyAlignment="1" applyProtection="1">
      <alignment horizontal="right"/>
    </xf>
    <xf numFmtId="4" fontId="5" fillId="4" borderId="36" xfId="3" applyNumberFormat="1" applyFont="1" applyBorder="1" applyAlignment="1" applyProtection="1">
      <alignment horizontal="left"/>
    </xf>
    <xf numFmtId="4" fontId="5" fillId="4" borderId="37" xfId="3" applyNumberFormat="1" applyFont="1" applyBorder="1" applyAlignment="1" applyProtection="1">
      <alignment horizontal="left"/>
    </xf>
    <xf numFmtId="4" fontId="5" fillId="4" borderId="43" xfId="3" applyNumberFormat="1" applyFont="1" applyBorder="1" applyAlignment="1" applyProtection="1">
      <alignment horizontal="left"/>
    </xf>
    <xf numFmtId="4" fontId="5" fillId="4" borderId="42" xfId="3" applyNumberFormat="1" applyFont="1" applyBorder="1" applyAlignment="1" applyProtection="1">
      <alignment horizontal="left"/>
    </xf>
    <xf numFmtId="4" fontId="5" fillId="4" borderId="6" xfId="3" applyNumberFormat="1" applyFont="1" applyBorder="1" applyAlignment="1" applyProtection="1">
      <alignment horizontal="left"/>
    </xf>
    <xf numFmtId="4" fontId="5" fillId="4" borderId="7" xfId="3" applyNumberFormat="1" applyFont="1" applyBorder="1" applyAlignment="1" applyProtection="1">
      <alignment horizontal="left"/>
    </xf>
    <xf numFmtId="4" fontId="3" fillId="3" borderId="49" xfId="2" applyNumberFormat="1" applyBorder="1" applyAlignment="1">
      <alignment horizontal="right"/>
    </xf>
    <xf numFmtId="4" fontId="11" fillId="3" borderId="17" xfId="4" applyNumberFormat="1" applyBorder="1" applyAlignment="1" applyProtection="1">
      <alignment horizontal="right"/>
    </xf>
    <xf numFmtId="4" fontId="11" fillId="3" borderId="27" xfId="4" applyNumberFormat="1" applyBorder="1" applyAlignment="1">
      <alignment horizontal="right"/>
    </xf>
    <xf numFmtId="4" fontId="5" fillId="4" borderId="2" xfId="3" applyNumberFormat="1" applyFont="1" applyAlignment="1" applyProtection="1">
      <alignment horizontal="left"/>
    </xf>
    <xf numFmtId="4" fontId="5" fillId="4" borderId="23" xfId="3" applyNumberFormat="1" applyFont="1" applyBorder="1" applyAlignment="1" applyProtection="1">
      <alignment horizontal="left"/>
    </xf>
    <xf numFmtId="4" fontId="5" fillId="4" borderId="4" xfId="3" applyNumberFormat="1" applyFont="1" applyBorder="1" applyAlignment="1" applyProtection="1">
      <alignment horizontal="left"/>
    </xf>
    <xf numFmtId="4" fontId="5" fillId="4" borderId="9" xfId="3" applyNumberFormat="1" applyFont="1" applyBorder="1" applyAlignment="1" applyProtection="1">
      <alignment horizontal="left"/>
    </xf>
    <xf numFmtId="4" fontId="5" fillId="4" borderId="13" xfId="3" applyNumberFormat="1" applyFont="1" applyBorder="1" applyAlignment="1" applyProtection="1">
      <alignment horizontal="left"/>
    </xf>
    <xf numFmtId="4" fontId="5" fillId="4" borderId="14" xfId="3" applyNumberFormat="1" applyFont="1" applyBorder="1" applyAlignment="1" applyProtection="1">
      <alignment horizontal="left"/>
    </xf>
    <xf numFmtId="4" fontId="5" fillId="4" borderId="30" xfId="3" applyNumberFormat="1" applyFont="1" applyBorder="1" applyAlignment="1" applyProtection="1">
      <alignment horizontal="left"/>
    </xf>
    <xf numFmtId="4" fontId="5" fillId="4" borderId="31" xfId="3" applyNumberFormat="1" applyFont="1" applyBorder="1" applyAlignment="1" applyProtection="1">
      <alignment horizontal="left"/>
    </xf>
    <xf numFmtId="4" fontId="11" fillId="3" borderId="33" xfId="4" applyNumberFormat="1" applyBorder="1" applyAlignment="1" applyProtection="1">
      <alignment horizontal="right"/>
    </xf>
    <xf numFmtId="4" fontId="7" fillId="4" borderId="34" xfId="3" applyNumberFormat="1" applyFont="1" applyBorder="1" applyAlignment="1" applyProtection="1">
      <alignment horizontal="left"/>
    </xf>
    <xf numFmtId="4" fontId="7" fillId="4" borderId="35" xfId="3" applyNumberFormat="1" applyFont="1" applyBorder="1" applyAlignment="1" applyProtection="1">
      <alignment horizontal="left"/>
    </xf>
    <xf numFmtId="0" fontId="12" fillId="5" borderId="16" xfId="0" applyFont="1" applyFill="1" applyBorder="1" applyAlignment="1">
      <alignment horizontal="center" vertical="center" wrapText="1"/>
    </xf>
    <xf numFmtId="0" fontId="12" fillId="5" borderId="11" xfId="0" applyFont="1" applyFill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12" fillId="0" borderId="16" xfId="0" applyFont="1" applyBorder="1" applyAlignment="1">
      <alignment horizontal="left" vertical="top" wrapText="1"/>
    </xf>
    <xf numFmtId="0" fontId="12" fillId="0" borderId="11" xfId="0" applyFont="1" applyBorder="1" applyAlignment="1">
      <alignment horizontal="left" vertical="top" wrapText="1"/>
    </xf>
    <xf numFmtId="0" fontId="5" fillId="5" borderId="19" xfId="0" applyFont="1" applyFill="1" applyBorder="1" applyAlignment="1">
      <alignment horizontal="center" vertical="center"/>
    </xf>
    <xf numFmtId="0" fontId="5" fillId="5" borderId="20" xfId="0" applyFont="1" applyFill="1" applyBorder="1" applyAlignment="1">
      <alignment horizontal="center" vertical="center"/>
    </xf>
    <xf numFmtId="0" fontId="7" fillId="4" borderId="32" xfId="3" applyFont="1" applyBorder="1" applyAlignment="1" applyProtection="1">
      <alignment horizontal="left"/>
    </xf>
    <xf numFmtId="0" fontId="7" fillId="4" borderId="6" xfId="3" applyFont="1" applyBorder="1" applyAlignment="1" applyProtection="1">
      <alignment horizontal="left"/>
    </xf>
    <xf numFmtId="0" fontId="7" fillId="4" borderId="7" xfId="3" applyFont="1" applyBorder="1" applyAlignment="1" applyProtection="1">
      <alignment horizontal="left"/>
    </xf>
  </cellXfs>
  <cellStyles count="5">
    <cellStyle name="Ausgabe" xfId="4" builtinId="21"/>
    <cellStyle name="Berechnung" xfId="2" builtinId="22"/>
    <cellStyle name="Eingabe" xfId="1" builtinId="20"/>
    <cellStyle name="Notiz" xfId="3" builtinId="10"/>
    <cellStyle name="Standard" xfId="0" builtinId="0"/>
  </cellStyles>
  <dxfs count="0"/>
  <tableStyles count="0" defaultTableStyle="TableStyleMedium9" defaultPivotStyle="PivotStyleLight16"/>
  <colors>
    <mruColors>
      <color rgb="FF33CCCC"/>
      <color rgb="FF33CC33"/>
      <color rgb="FFFF5050"/>
      <color rgb="FFCC9900"/>
      <color rgb="FFFF00FF"/>
      <color rgb="FF772C2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92017099436473"/>
          <c:y val="3.8960344506724046E-2"/>
          <c:w val="0.68616437945400932"/>
          <c:h val="0.852093555203994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Berechnungen!$C$35</c:f>
              <c:strCache>
                <c:ptCount val="1"/>
                <c:pt idx="0">
                  <c:v>A1</c:v>
                </c:pt>
              </c:strCache>
            </c:strRef>
          </c:tx>
          <c:spPr>
            <a:ln w="38100" cap="sq">
              <a:solidFill>
                <a:srgbClr val="33CCCC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Berechnungen!$L$78:$P$78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Berechnungen!$L$90:$P$90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340</c:v>
                </c:pt>
                <c:pt idx="3">
                  <c:v>340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71-2E4A-B783-46FA729929D6}"/>
            </c:ext>
          </c:extLst>
        </c:ser>
        <c:ser>
          <c:idx val="1"/>
          <c:order val="1"/>
          <c:tx>
            <c:strRef>
              <c:f>Berechnungen!$C$36</c:f>
              <c:strCache>
                <c:ptCount val="1"/>
                <c:pt idx="0">
                  <c:v>A2</c:v>
                </c:pt>
              </c:strCache>
            </c:strRef>
          </c:tx>
          <c:spPr>
            <a:ln w="38100" cap="sq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Berechnungen!$L$79:$P$79</c:f>
              <c:numCache>
                <c:formatCode>General</c:formatCode>
                <c:ptCount val="5"/>
                <c:pt idx="0">
                  <c:v>30</c:v>
                </c:pt>
                <c:pt idx="1">
                  <c:v>350</c:v>
                </c:pt>
                <c:pt idx="2">
                  <c:v>350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Berechnungen!$L$91:$P$91</c:f>
              <c:numCache>
                <c:formatCode>General</c:formatCode>
                <c:ptCount val="5"/>
                <c:pt idx="0">
                  <c:v>40</c:v>
                </c:pt>
                <c:pt idx="1">
                  <c:v>40</c:v>
                </c:pt>
                <c:pt idx="2">
                  <c:v>60</c:v>
                </c:pt>
                <c:pt idx="3">
                  <c:v>60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D7-B642-B1E3-EA603FFD7481}"/>
            </c:ext>
          </c:extLst>
        </c:ser>
        <c:ser>
          <c:idx val="2"/>
          <c:order val="2"/>
          <c:tx>
            <c:strRef>
              <c:f>Berechnungen!$C$37</c:f>
              <c:strCache>
                <c:ptCount val="1"/>
                <c:pt idx="0">
                  <c:v>A3</c:v>
                </c:pt>
              </c:strCache>
            </c:strRef>
          </c:tx>
          <c:spPr>
            <a:ln w="38100" cap="sq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Berechnungen!$L$80:$P$80</c:f>
              <c:numCache>
                <c:formatCode>General</c:formatCode>
                <c:ptCount val="5"/>
                <c:pt idx="0">
                  <c:v>30</c:v>
                </c:pt>
                <c:pt idx="1">
                  <c:v>350</c:v>
                </c:pt>
                <c:pt idx="2">
                  <c:v>350</c:v>
                </c:pt>
                <c:pt idx="3">
                  <c:v>30</c:v>
                </c:pt>
                <c:pt idx="4">
                  <c:v>30</c:v>
                </c:pt>
              </c:numCache>
            </c:numRef>
          </c:xVal>
          <c:yVal>
            <c:numRef>
              <c:f>Berechnungen!$L$92:$P$92</c:f>
              <c:numCache>
                <c:formatCode>General</c:formatCode>
                <c:ptCount val="5"/>
                <c:pt idx="0">
                  <c:v>280</c:v>
                </c:pt>
                <c:pt idx="1">
                  <c:v>280</c:v>
                </c:pt>
                <c:pt idx="2">
                  <c:v>300</c:v>
                </c:pt>
                <c:pt idx="3">
                  <c:v>300</c:v>
                </c:pt>
                <c:pt idx="4">
                  <c:v>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7-B642-B1E3-EA603FFD7481}"/>
            </c:ext>
          </c:extLst>
        </c:ser>
        <c:ser>
          <c:idx val="3"/>
          <c:order val="3"/>
          <c:tx>
            <c:strRef>
              <c:f>Berechnungen!$C$38</c:f>
              <c:strCache>
                <c:ptCount val="1"/>
                <c:pt idx="0">
                  <c:v>A4</c:v>
                </c:pt>
              </c:strCache>
            </c:strRef>
          </c:tx>
          <c:spPr>
            <a:ln w="38100" cap="sq">
              <a:solidFill>
                <a:schemeClr val="accent4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Berechnungen!$L$81:$P$81</c:f>
              <c:numCache>
                <c:formatCode>General</c:formatCode>
                <c:ptCount val="5"/>
                <c:pt idx="0">
                  <c:v>350</c:v>
                </c:pt>
                <c:pt idx="1">
                  <c:v>380</c:v>
                </c:pt>
                <c:pt idx="2">
                  <c:v>380</c:v>
                </c:pt>
                <c:pt idx="3">
                  <c:v>350</c:v>
                </c:pt>
                <c:pt idx="4">
                  <c:v>350</c:v>
                </c:pt>
              </c:numCache>
            </c:numRef>
          </c:xVal>
          <c:yVal>
            <c:numRef>
              <c:f>Berechnungen!$L$93:$P$93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320</c:v>
                </c:pt>
                <c:pt idx="3">
                  <c:v>320</c:v>
                </c:pt>
                <c:pt idx="4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D7-B642-B1E3-EA603FFD7481}"/>
            </c:ext>
          </c:extLst>
        </c:ser>
        <c:ser>
          <c:idx val="4"/>
          <c:order val="4"/>
          <c:tx>
            <c:strRef>
              <c:f>Berechnungen!$C$39</c:f>
              <c:strCache>
                <c:ptCount val="1"/>
                <c:pt idx="0">
                  <c:v>A5</c:v>
                </c:pt>
              </c:strCache>
            </c:strRef>
          </c:tx>
          <c:spPr>
            <a:ln w="38100" cap="sq">
              <a:solidFill>
                <a:srgbClr val="33CC33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Berechnungen!$L$82:$P$82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Berechnungen!$L$94:$P$94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7-B642-B1E3-EA603FFD7481}"/>
            </c:ext>
          </c:extLst>
        </c:ser>
        <c:ser>
          <c:idx val="7"/>
          <c:order val="5"/>
          <c:tx>
            <c:strRef>
              <c:f>Berechnungen!$C$40</c:f>
              <c:strCache>
                <c:ptCount val="1"/>
                <c:pt idx="0">
                  <c:v>A6</c:v>
                </c:pt>
              </c:strCache>
            </c:strRef>
          </c:tx>
          <c:spPr>
            <a:ln w="38100" cap="sq">
              <a:solidFill>
                <a:srgbClr val="FF00FF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Berechnungen!$L$83:$P$83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Berechnungen!$L$95:$P$95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D7-B642-B1E3-EA603FFD7481}"/>
            </c:ext>
          </c:extLst>
        </c:ser>
        <c:ser>
          <c:idx val="8"/>
          <c:order val="6"/>
          <c:tx>
            <c:strRef>
              <c:f>Berechnungen!$C$41</c:f>
              <c:strCache>
                <c:ptCount val="1"/>
                <c:pt idx="0">
                  <c:v>A7</c:v>
                </c:pt>
              </c:strCache>
            </c:strRef>
          </c:tx>
          <c:spPr>
            <a:ln w="38100" cap="sq">
              <a:solidFill>
                <a:srgbClr val="CC990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Berechnungen!$L$84:$P$84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Berechnungen!$L$96:$P$96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5D7-B642-B1E3-EA603FFD7481}"/>
            </c:ext>
          </c:extLst>
        </c:ser>
        <c:ser>
          <c:idx val="9"/>
          <c:order val="7"/>
          <c:tx>
            <c:strRef>
              <c:f>Berechnungen!$C$42</c:f>
              <c:strCache>
                <c:ptCount val="1"/>
                <c:pt idx="0">
                  <c:v>A8</c:v>
                </c:pt>
              </c:strCache>
            </c:strRef>
          </c:tx>
          <c:spPr>
            <a:ln w="38100" cap="sq">
              <a:solidFill>
                <a:srgbClr val="FF5050"/>
              </a:solidFill>
              <a:miter lim="800000"/>
            </a:ln>
            <a:effectLst/>
          </c:spPr>
          <c:marker>
            <c:symbol val="none"/>
          </c:marker>
          <c:xVal>
            <c:numRef>
              <c:f>Berechnungen!$L$85:$P$85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Berechnungen!$L$97:$P$97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5D7-B642-B1E3-EA603FFD7481}"/>
            </c:ext>
          </c:extLst>
        </c:ser>
        <c:ser>
          <c:idx val="5"/>
          <c:order val="8"/>
          <c:tx>
            <c:v>AchseY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Berechnungen!$K$28:$L$28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380</c:v>
                </c:pt>
              </c:numCache>
            </c:numRef>
          </c:xVal>
          <c:yVal>
            <c:numRef>
              <c:f>Berechnungen!$M$28:$N$28</c:f>
              <c:numCache>
                <c:formatCode>#,##0.00</c:formatCode>
                <c:ptCount val="2"/>
                <c:pt idx="0">
                  <c:v>170</c:v>
                </c:pt>
                <c:pt idx="1">
                  <c:v>170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D7-B642-B1E3-EA603FFD7481}"/>
            </c:ext>
          </c:extLst>
        </c:ser>
        <c:ser>
          <c:idx val="6"/>
          <c:order val="9"/>
          <c:tx>
            <c:v>AchseZ</c:v>
          </c:tx>
          <c:spPr>
            <a:ln w="25400" cap="rnd">
              <a:solidFill>
                <a:schemeClr val="tx1"/>
              </a:solidFill>
              <a:prstDash val="dash"/>
              <a:round/>
              <a:headEnd type="stealth" w="lg" len="lg"/>
              <a:tailEnd type="stealth" w="lg" len="lg"/>
            </a:ln>
            <a:effectLst/>
          </c:spPr>
          <c:marker>
            <c:symbol val="none"/>
          </c:marker>
          <c:xVal>
            <c:numRef>
              <c:f>Berechnungen!$M$29:$N$29</c:f>
              <c:numCache>
                <c:formatCode>#,##0.00</c:formatCode>
                <c:ptCount val="2"/>
                <c:pt idx="0">
                  <c:v>183.4375</c:v>
                </c:pt>
                <c:pt idx="1">
                  <c:v>183.4375</c:v>
                </c:pt>
              </c:numCache>
            </c:numRef>
          </c:xVal>
          <c:yVal>
            <c:numRef>
              <c:f>Berechnungen!$K$29:$L$29</c:f>
              <c:numCache>
                <c:formatCode>#,##0</c:formatCode>
                <c:ptCount val="2"/>
                <c:pt idx="0" formatCode="General">
                  <c:v>0</c:v>
                </c:pt>
                <c:pt idx="1">
                  <c:v>340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D7-B642-B1E3-EA603FFD74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2"/>
        <c:crosses val="autoZero"/>
        <c:crossBetween val="midCat"/>
        <c:majorUnit val="50"/>
      </c:valAx>
      <c:valAx>
        <c:axId val="50010002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Z-Achse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10001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dist="50800" sx="1000" sy="1000" algn="ctr" rotWithShape="0">
        <a:srgbClr val="000000"/>
      </a:outerShdw>
    </a:effectLst>
  </c:spPr>
  <c:txPr>
    <a:bodyPr/>
    <a:lstStyle/>
    <a:p>
      <a:pPr>
        <a:defRPr sz="1200"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119773</xdr:colOff>
      <xdr:row>1</xdr:row>
      <xdr:rowOff>165875</xdr:rowOff>
    </xdr:from>
    <xdr:to>
      <xdr:col>8</xdr:col>
      <xdr:colOff>437931</xdr:colOff>
      <xdr:row>31</xdr:row>
      <xdr:rowOff>100381</xdr:rowOff>
    </xdr:to>
    <xdr:graphicFrame macro="">
      <xdr:nvGraphicFramePr>
        <xdr:cNvPr id="2" name="Konstruk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W139"/>
  <sheetViews>
    <sheetView showGridLines="0" tabSelected="1" topLeftCell="A10" zoomScaleNormal="115" workbookViewId="0">
      <selection activeCell="G36" sqref="G36"/>
    </sheetView>
  </sheetViews>
  <sheetFormatPr baseColWidth="10" defaultColWidth="8.85546875" defaultRowHeight="14.25"/>
  <cols>
    <col min="1" max="2" width="2" style="5" customWidth="1"/>
    <col min="3" max="3" width="14" style="5" bestFit="1" customWidth="1"/>
    <col min="4" max="4" width="17.140625" style="5" customWidth="1"/>
    <col min="5" max="5" width="14.42578125" style="5" customWidth="1"/>
    <col min="6" max="6" width="17.140625" style="5" customWidth="1"/>
    <col min="7" max="7" width="14.42578125" style="5" customWidth="1"/>
    <col min="8" max="8" width="17.85546875" style="5" bestFit="1" customWidth="1"/>
    <col min="9" max="9" width="17.42578125" style="5" bestFit="1" customWidth="1"/>
    <col min="10" max="10" width="26.85546875" style="5" customWidth="1"/>
    <col min="11" max="11" width="55.7109375" style="5" customWidth="1"/>
    <col min="12" max="12" width="4.28515625" style="5" bestFit="1" customWidth="1"/>
    <col min="13" max="13" width="38.140625" style="5" bestFit="1" customWidth="1"/>
    <col min="14" max="14" width="6.7109375" style="5" bestFit="1" customWidth="1"/>
    <col min="15" max="16" width="4.28515625" style="5" bestFit="1" customWidth="1"/>
    <col min="17" max="20" width="9.28515625" style="5" bestFit="1" customWidth="1"/>
    <col min="21" max="23" width="9.140625" style="5" bestFit="1" customWidth="1"/>
    <col min="24" max="16384" width="8.85546875" style="5"/>
  </cols>
  <sheetData>
    <row r="1" spans="2:23" ht="18.75" thickBot="1">
      <c r="B1" s="1" t="s">
        <v>89</v>
      </c>
      <c r="C1" s="2"/>
      <c r="D1" s="2"/>
      <c r="E1" s="2"/>
      <c r="F1" s="2"/>
      <c r="G1" s="2"/>
      <c r="H1" s="2"/>
      <c r="I1" s="2"/>
      <c r="J1" s="2"/>
      <c r="K1" s="3" t="s">
        <v>20</v>
      </c>
      <c r="N1" s="4"/>
      <c r="O1" s="4"/>
      <c r="P1" s="4"/>
      <c r="Q1" s="4"/>
      <c r="R1" s="4"/>
      <c r="S1" s="4"/>
      <c r="T1" s="4"/>
      <c r="U1" s="4"/>
      <c r="V1" s="4"/>
      <c r="W1" s="4"/>
    </row>
    <row r="12" spans="2:23" ht="18.95" customHeight="1">
      <c r="I12" s="36"/>
      <c r="K12" s="36"/>
    </row>
    <row r="13" spans="2:23" ht="18.95" customHeight="1">
      <c r="I13" s="36"/>
      <c r="K13" s="36"/>
    </row>
    <row r="14" spans="2:23" ht="18.95" customHeight="1">
      <c r="I14" s="36"/>
      <c r="J14" s="36"/>
      <c r="K14" s="36"/>
    </row>
    <row r="15" spans="2:23" ht="18.95" customHeight="1">
      <c r="I15" s="36"/>
      <c r="J15" s="36"/>
      <c r="K15" s="36"/>
    </row>
    <row r="16" spans="2:23" ht="18.95" customHeight="1"/>
    <row r="17" spans="5:14" ht="18.95" customHeight="1"/>
    <row r="18" spans="5:14" ht="15" customHeight="1"/>
    <row r="19" spans="5:14" ht="15" customHeight="1"/>
    <row r="20" spans="5:14" ht="15" customHeight="1">
      <c r="E20" s="4"/>
    </row>
    <row r="21" spans="5:14" ht="15" customHeight="1">
      <c r="E21" s="4"/>
    </row>
    <row r="22" spans="5:14">
      <c r="E22" s="4"/>
    </row>
    <row r="23" spans="5:14">
      <c r="E23" s="4"/>
    </row>
    <row r="24" spans="5:14">
      <c r="E24" s="4"/>
      <c r="N24" s="4"/>
    </row>
    <row r="25" spans="5:14">
      <c r="E25" s="4"/>
      <c r="N25" s="4"/>
    </row>
    <row r="26" spans="5:14">
      <c r="E26" s="4"/>
      <c r="H26" s="8"/>
      <c r="I26" s="8"/>
      <c r="J26" s="8"/>
      <c r="K26" s="4"/>
      <c r="L26" s="4"/>
      <c r="M26" s="4"/>
      <c r="N26" s="4"/>
    </row>
    <row r="27" spans="5:14">
      <c r="E27" s="4"/>
      <c r="H27" s="8"/>
      <c r="I27" s="8"/>
      <c r="J27" s="4"/>
      <c r="K27" s="4" t="s">
        <v>0</v>
      </c>
      <c r="L27" s="4" t="s">
        <v>16</v>
      </c>
      <c r="M27" s="4" t="s">
        <v>1</v>
      </c>
      <c r="N27" s="4" t="s">
        <v>17</v>
      </c>
    </row>
    <row r="28" spans="5:14">
      <c r="E28" s="4"/>
      <c r="H28" s="8"/>
      <c r="I28" s="8"/>
      <c r="J28" s="4" t="s">
        <v>12</v>
      </c>
      <c r="K28" s="4">
        <v>0</v>
      </c>
      <c r="L28" s="8">
        <f>F104</f>
        <v>380</v>
      </c>
      <c r="M28" s="21">
        <f>D58</f>
        <v>170</v>
      </c>
      <c r="N28" s="21">
        <f>D58</f>
        <v>170</v>
      </c>
    </row>
    <row r="29" spans="5:14">
      <c r="E29" s="4"/>
      <c r="H29" s="8"/>
      <c r="I29" s="8"/>
      <c r="J29" s="4" t="s">
        <v>13</v>
      </c>
      <c r="K29" s="4">
        <v>0</v>
      </c>
      <c r="L29" s="8">
        <f>F109</f>
        <v>340</v>
      </c>
      <c r="M29" s="21">
        <f>D72</f>
        <v>183.4375</v>
      </c>
      <c r="N29" s="21">
        <f>D72</f>
        <v>183.4375</v>
      </c>
    </row>
    <row r="30" spans="5:14">
      <c r="E30" s="4"/>
      <c r="H30" s="8"/>
      <c r="I30" s="8"/>
      <c r="J30" s="4"/>
      <c r="K30" s="4"/>
      <c r="L30" s="4"/>
      <c r="M30" s="4"/>
      <c r="N30" s="4"/>
    </row>
    <row r="31" spans="5:14">
      <c r="E31" s="4"/>
      <c r="H31" s="8"/>
      <c r="I31" s="8"/>
      <c r="J31" s="4"/>
      <c r="K31" s="4"/>
      <c r="L31" s="4"/>
      <c r="M31" s="4"/>
      <c r="N31" s="4"/>
    </row>
    <row r="32" spans="5:14" ht="15" thickBot="1">
      <c r="E32" s="4"/>
      <c r="F32" s="4"/>
      <c r="G32" s="4"/>
      <c r="I32" s="7"/>
    </row>
    <row r="33" spans="2:12" ht="15" customHeight="1">
      <c r="C33" s="113" t="s">
        <v>61</v>
      </c>
      <c r="D33" s="109" t="s">
        <v>73</v>
      </c>
      <c r="E33" s="109" t="s">
        <v>76</v>
      </c>
      <c r="F33" s="109" t="s">
        <v>74</v>
      </c>
      <c r="G33" s="109" t="s">
        <v>75</v>
      </c>
      <c r="H33" s="117" t="s">
        <v>26</v>
      </c>
    </row>
    <row r="34" spans="2:12" ht="15" customHeight="1" thickBot="1">
      <c r="C34" s="114"/>
      <c r="D34" s="110"/>
      <c r="E34" s="110"/>
      <c r="F34" s="110"/>
      <c r="G34" s="110"/>
      <c r="H34" s="118"/>
    </row>
    <row r="35" spans="2:12" ht="15.75">
      <c r="C35" s="28" t="s">
        <v>53</v>
      </c>
      <c r="D35" s="24">
        <v>0</v>
      </c>
      <c r="E35" s="25">
        <v>30</v>
      </c>
      <c r="F35" s="25">
        <v>0</v>
      </c>
      <c r="G35" s="25">
        <v>340</v>
      </c>
      <c r="H35" s="10">
        <f>IF(OR(ISBLANK(E35), ISBLANK(G35)), "", E35*G35)</f>
        <v>10200</v>
      </c>
      <c r="J35" s="4"/>
      <c r="K35" s="4"/>
    </row>
    <row r="36" spans="2:12" ht="18">
      <c r="C36" s="28" t="s">
        <v>54</v>
      </c>
      <c r="D36" s="24">
        <v>30</v>
      </c>
      <c r="E36" s="25">
        <v>320</v>
      </c>
      <c r="F36" s="25">
        <v>40</v>
      </c>
      <c r="G36" s="25">
        <v>20</v>
      </c>
      <c r="H36" s="11">
        <f t="shared" ref="H36:H40" si="0">IF(OR(ISBLANK(E36), ISBLANK(G36)), "", E36*G36)</f>
        <v>6400</v>
      </c>
      <c r="J36" s="6" t="s">
        <v>62</v>
      </c>
      <c r="K36" s="4"/>
      <c r="L36" s="4"/>
    </row>
    <row r="37" spans="2:12" ht="18">
      <c r="C37" s="28" t="s">
        <v>55</v>
      </c>
      <c r="D37" s="24">
        <v>30</v>
      </c>
      <c r="E37" s="25">
        <v>320</v>
      </c>
      <c r="F37" s="25">
        <v>280</v>
      </c>
      <c r="G37" s="25">
        <v>20</v>
      </c>
      <c r="H37" s="11">
        <f t="shared" si="0"/>
        <v>6400</v>
      </c>
      <c r="J37" s="6" t="s">
        <v>24</v>
      </c>
      <c r="K37" s="4"/>
      <c r="L37" s="4"/>
    </row>
    <row r="38" spans="2:12" ht="18">
      <c r="C38" s="28" t="s">
        <v>56</v>
      </c>
      <c r="D38" s="24">
        <v>350</v>
      </c>
      <c r="E38" s="24">
        <v>30</v>
      </c>
      <c r="F38" s="24">
        <v>20</v>
      </c>
      <c r="G38" s="24">
        <v>300</v>
      </c>
      <c r="H38" s="11">
        <f t="shared" si="0"/>
        <v>9000</v>
      </c>
      <c r="J38" s="6" t="s">
        <v>25</v>
      </c>
      <c r="K38" s="4"/>
      <c r="L38" s="4"/>
    </row>
    <row r="39" spans="2:12" ht="18">
      <c r="C39" s="28" t="s">
        <v>57</v>
      </c>
      <c r="D39" s="24"/>
      <c r="E39" s="25"/>
      <c r="F39" s="25"/>
      <c r="G39" s="25"/>
      <c r="H39" s="11" t="str">
        <f t="shared" si="0"/>
        <v/>
      </c>
      <c r="J39" s="6" t="s">
        <v>23</v>
      </c>
      <c r="K39" s="4"/>
      <c r="L39" s="4"/>
    </row>
    <row r="40" spans="2:12" ht="18">
      <c r="C40" s="28" t="s">
        <v>58</v>
      </c>
      <c r="D40" s="24"/>
      <c r="E40" s="25"/>
      <c r="F40" s="25"/>
      <c r="G40" s="25"/>
      <c r="H40" s="11" t="str">
        <f t="shared" si="0"/>
        <v/>
      </c>
      <c r="J40" s="6" t="s">
        <v>68</v>
      </c>
      <c r="K40" s="4"/>
      <c r="L40" s="4"/>
    </row>
    <row r="41" spans="2:12" ht="15.75">
      <c r="C41" s="28" t="s">
        <v>59</v>
      </c>
      <c r="D41" s="24"/>
      <c r="E41" s="25"/>
      <c r="F41" s="25"/>
      <c r="G41" s="25"/>
      <c r="H41" s="11" t="str">
        <f>IF(OR(ISBLANK(E41), ISBLANK(G41)), "", E41*G41)</f>
        <v/>
      </c>
      <c r="I41" s="8"/>
      <c r="J41" s="4"/>
      <c r="K41" s="4"/>
    </row>
    <row r="42" spans="2:12" ht="16.5" thickBot="1">
      <c r="C42" s="29" t="s">
        <v>60</v>
      </c>
      <c r="D42" s="32"/>
      <c r="E42" s="33"/>
      <c r="F42" s="33"/>
      <c r="G42" s="33"/>
      <c r="H42" s="13" t="str">
        <f>IF(OR(ISBLANK(E42), ISBLANK(G42)), "", E42*G42)</f>
        <v/>
      </c>
      <c r="I42" s="8"/>
      <c r="J42" s="4"/>
      <c r="K42" s="4"/>
    </row>
    <row r="43" spans="2:12" ht="15" thickBot="1">
      <c r="E43" s="4"/>
      <c r="F43" s="4"/>
      <c r="G43" s="4"/>
      <c r="H43" s="4"/>
      <c r="I43" s="8"/>
      <c r="J43" s="4"/>
      <c r="K43" s="4"/>
    </row>
    <row r="44" spans="2:12" ht="18.75" thickBot="1">
      <c r="B44" s="1" t="s">
        <v>22</v>
      </c>
      <c r="C44" s="2"/>
      <c r="D44" s="2"/>
      <c r="E44" s="2"/>
      <c r="F44" s="2"/>
      <c r="G44" s="2"/>
      <c r="H44" s="2"/>
      <c r="I44" s="2"/>
      <c r="J44" s="2"/>
      <c r="K44" s="3"/>
    </row>
    <row r="45" spans="2:12" ht="15.75" thickBot="1">
      <c r="C45" s="55" t="s">
        <v>31</v>
      </c>
      <c r="D45" s="56"/>
      <c r="E45" s="56"/>
      <c r="F45" s="56"/>
      <c r="G45" s="56"/>
      <c r="H45" s="56"/>
      <c r="I45" s="56"/>
      <c r="J45" s="56"/>
      <c r="K45" s="57"/>
    </row>
    <row r="46" spans="2:12">
      <c r="C46" s="60" t="s">
        <v>61</v>
      </c>
      <c r="D46" s="58" t="s">
        <v>32</v>
      </c>
      <c r="E46" s="58"/>
      <c r="F46" s="58" t="s">
        <v>21</v>
      </c>
      <c r="G46" s="58"/>
      <c r="H46" s="58"/>
      <c r="I46" s="58"/>
      <c r="J46" s="58"/>
      <c r="K46" s="62"/>
    </row>
    <row r="47" spans="2:12" ht="15" thickBot="1">
      <c r="C47" s="61"/>
      <c r="D47" s="59"/>
      <c r="E47" s="59"/>
      <c r="F47" s="59"/>
      <c r="G47" s="59"/>
      <c r="H47" s="59"/>
      <c r="I47" s="59"/>
      <c r="J47" s="59"/>
      <c r="K47" s="63"/>
    </row>
    <row r="48" spans="2:12" ht="15.75">
      <c r="C48" s="9" t="s">
        <v>53</v>
      </c>
      <c r="D48" s="84">
        <f>(IF(AND(ISNUMBER(H35),ISNUMBER(G35),ISNUMBER(F35)),(H35*((G35/2)+F35)),""))</f>
        <v>1734000</v>
      </c>
      <c r="E48" s="84"/>
      <c r="F48" s="89" t="str">
        <f>IF(AND(ISNUMBER(H35), ISNUMBER(G35), ISNUMBER(F35)),
    H35 &amp; " * ((" &amp; G35 &amp; " / 2) + " &amp; F35 &amp; ")",
    ""
)</f>
        <v>10200 * ((340 / 2) + 0)</v>
      </c>
      <c r="G48" s="90"/>
      <c r="H48" s="90"/>
      <c r="I48" s="90"/>
      <c r="J48" s="90"/>
      <c r="K48" s="91"/>
    </row>
    <row r="49" spans="3:11" ht="15.75">
      <c r="C49" s="9" t="s">
        <v>54</v>
      </c>
      <c r="D49" s="84">
        <f t="shared" ref="D49:D54" si="1">IF(AND(ISNUMBER(H36), ISNUMBER(G36), ISNUMBER(F36)), (H36*((G36/2)+F36)), "")</f>
        <v>320000</v>
      </c>
      <c r="E49" s="84"/>
      <c r="F49" s="80" t="str">
        <f t="shared" ref="F49:F55" si="2">IF(AND(ISNUMBER(H36), ISNUMBER(G36), ISNUMBER(F36)),
    " + " &amp; H36 &amp; " * ((" &amp; G36 &amp; " / 2) + " &amp; F36 &amp; ")",
    ""
)</f>
        <v xml:space="preserve"> + 6400 * ((20 / 2) + 40)</v>
      </c>
      <c r="G49" s="81"/>
      <c r="H49" s="81"/>
      <c r="I49" s="81"/>
      <c r="J49" s="81"/>
      <c r="K49" s="82"/>
    </row>
    <row r="50" spans="3:11" ht="15.75">
      <c r="C50" s="9" t="s">
        <v>55</v>
      </c>
      <c r="D50" s="84">
        <f t="shared" si="1"/>
        <v>1856000</v>
      </c>
      <c r="E50" s="84"/>
      <c r="F50" s="80" t="str">
        <f t="shared" si="2"/>
        <v xml:space="preserve"> + 6400 * ((20 / 2) + 280)</v>
      </c>
      <c r="G50" s="81"/>
      <c r="H50" s="81"/>
      <c r="I50" s="81"/>
      <c r="J50" s="81"/>
      <c r="K50" s="82"/>
    </row>
    <row r="51" spans="3:11" ht="15.75">
      <c r="C51" s="9" t="s">
        <v>56</v>
      </c>
      <c r="D51" s="84">
        <f t="shared" si="1"/>
        <v>1530000</v>
      </c>
      <c r="E51" s="84"/>
      <c r="F51" s="80" t="str">
        <f t="shared" si="2"/>
        <v xml:space="preserve"> + 9000 * ((300 / 2) + 20)</v>
      </c>
      <c r="G51" s="81"/>
      <c r="H51" s="81"/>
      <c r="I51" s="81"/>
      <c r="J51" s="81"/>
      <c r="K51" s="82"/>
    </row>
    <row r="52" spans="3:11" ht="15.75">
      <c r="C52" s="9" t="s">
        <v>57</v>
      </c>
      <c r="D52" s="84" t="str">
        <f t="shared" si="1"/>
        <v/>
      </c>
      <c r="E52" s="84"/>
      <c r="F52" s="80" t="str">
        <f t="shared" si="2"/>
        <v/>
      </c>
      <c r="G52" s="81"/>
      <c r="H52" s="81"/>
      <c r="I52" s="81"/>
      <c r="J52" s="81"/>
      <c r="K52" s="82"/>
    </row>
    <row r="53" spans="3:11" ht="15.75">
      <c r="C53" s="9" t="s">
        <v>58</v>
      </c>
      <c r="D53" s="84" t="str">
        <f t="shared" si="1"/>
        <v/>
      </c>
      <c r="E53" s="84"/>
      <c r="F53" s="80" t="str">
        <f t="shared" si="2"/>
        <v/>
      </c>
      <c r="G53" s="81"/>
      <c r="H53" s="81"/>
      <c r="I53" s="81"/>
      <c r="J53" s="81"/>
      <c r="K53" s="82"/>
    </row>
    <row r="54" spans="3:11" ht="15.75">
      <c r="C54" s="9" t="s">
        <v>59</v>
      </c>
      <c r="D54" s="84" t="str">
        <f t="shared" si="1"/>
        <v/>
      </c>
      <c r="E54" s="84"/>
      <c r="F54" s="80" t="str">
        <f t="shared" si="2"/>
        <v/>
      </c>
      <c r="G54" s="81"/>
      <c r="H54" s="81"/>
      <c r="I54" s="81"/>
      <c r="J54" s="81"/>
      <c r="K54" s="82"/>
    </row>
    <row r="55" spans="3:11" ht="16.5" thickBot="1">
      <c r="C55" s="12" t="s">
        <v>60</v>
      </c>
      <c r="D55" s="97" t="str">
        <f>IF(AND(ISNUMBER(H42),ISNUMBER(G42),ISNUMBER(F42)),(H42*((G42/2)+F42)), "")</f>
        <v/>
      </c>
      <c r="E55" s="97"/>
      <c r="F55" s="80" t="str">
        <f t="shared" si="2"/>
        <v/>
      </c>
      <c r="G55" s="81"/>
      <c r="H55" s="81"/>
      <c r="I55" s="81"/>
      <c r="J55" s="81"/>
      <c r="K55" s="82"/>
    </row>
    <row r="56" spans="3:11" ht="15.75">
      <c r="C56" s="15" t="s">
        <v>29</v>
      </c>
      <c r="D56" s="83">
        <f>SUM(D48:D55)</f>
        <v>5440000</v>
      </c>
      <c r="E56" s="83"/>
      <c r="F56" s="4"/>
      <c r="G56" s="4"/>
      <c r="H56" s="4"/>
      <c r="I56" s="8"/>
      <c r="J56" s="4"/>
      <c r="K56" s="18"/>
    </row>
    <row r="57" spans="3:11" ht="16.5" thickBot="1">
      <c r="C57" s="15" t="s">
        <v>33</v>
      </c>
      <c r="D57" s="84">
        <f>(IF(ISNUMBER(H35),H35,0)
+IF(ISNUMBER(H36),H36,0)
+IF(ISNUMBER(H37),H37,0)
+IF(ISNUMBER(H38),H38,0)
+IF(ISNUMBER(H39),H39,0)
+IF(ISNUMBER(H40),H40,0)
+IF(ISNUMBER(H41),H41,0)
+IF(ISNUMBER(H42),H42,0))</f>
        <v>32000</v>
      </c>
      <c r="E57" s="84"/>
      <c r="F57" s="72" t="str">
        <f>IF(ISNUMBER(H35),H35 &amp; IF(ISNUMBER(H36)," + ", ""), "")
&amp;IF(ISNUMBER(H36),H36 &amp; IF(ISNUMBER(H37)," + ", ""), "")
&amp;IF(ISNUMBER(H37),H37 &amp; IF(ISNUMBER(H38)," + ", ""), "")
&amp;IF(ISNUMBER(H38),H38 &amp; IF(ISNUMBER(H39)," + ", ""), "")
&amp;IF(ISNUMBER(H39),H39 &amp; IF(ISNUMBER(H40)," + ", ""), "")
&amp;IF(ISNUMBER(H40),H40 &amp; IF(ISNUMBER(H41)," + ", ""), "")
&amp;IF(ISNUMBER(H41),H41 &amp; IF(ISNUMBER(H42)," + ", ""), "")
&amp;IF(ISNUMBER(H42),H42, "")</f>
        <v>10200 + 6400 + 6400 + 9000</v>
      </c>
      <c r="G57" s="73"/>
      <c r="H57" s="73"/>
      <c r="I57" s="73"/>
      <c r="J57" s="73"/>
      <c r="K57" s="74"/>
    </row>
    <row r="58" spans="3:11" ht="16.5" thickBot="1">
      <c r="C58" s="16" t="s">
        <v>18</v>
      </c>
      <c r="D58" s="95">
        <f>D56/D57</f>
        <v>170</v>
      </c>
      <c r="E58" s="95"/>
      <c r="F58" s="92" t="str">
        <f>IF(AND(ISNUMBER(H35), ISNUMBER(G35), ISNUMBER(F35)), H35 &amp; " * ((" &amp; G35 &amp; " / 2) + " &amp; F35 &amp; ")", "")
&amp; IF(AND(ISNUMBER(H36), ISNUMBER(G36), ISNUMBER(F36)),
    IF(ISNUMBER(H35), " + ", "") &amp; H36 &amp; " * ((" &amp; G36 &amp; " / 2) + " &amp; F36 &amp; ")", "")
&amp; IF(AND(ISNUMBER(H37), ISNUMBER(G37), ISNUMBER(F37)),
    IF(OR(ISNUMBER(H35), ISNUMBER(H36)), " + ", "") &amp; H37 &amp; " * ((" &amp; G37 &amp; " / 2) + " &amp; F37 &amp; ")", "")
&amp; IF(AND(ISNUMBER(H38), ISNUMBER(G38), ISNUMBER(F38)),
    IF(OR(ISNUMBER(H35), ISNUMBER(H36), ISNUMBER(H37)), " + ", "") &amp; H38 &amp; " * ((" &amp; G38 &amp; " / 2) + " &amp; F38 &amp; ")", "")
&amp; IF(AND(ISNUMBER(H39), ISNUMBER(G39), ISNUMBER(F39)),
    IF(OR(ISNUMBER(H35), ISNUMBER(H36), ISNUMBER(H37), ISNUMBER(H38)), " + ", "") &amp; H39 &amp; " * ((" &amp; G39 &amp; " / 2) + " &amp; F39 &amp; ")", "")
&amp; IF(AND(ISNUMBER(H40), ISNUMBER(G40), ISNUMBER(F40)),
    IF(OR(ISNUMBER(H35), ISNUMBER(H36), ISNUMBER(H37), ISNUMBER(H38), ISNUMBER(H39)), " + ", "") &amp; H40 &amp; " * ((" &amp; G40 &amp; " / 2) + " &amp; F40 &amp; ")", "")
&amp; IF(AND(ISNUMBER(H41), ISNUMBER(G41), ISNUMBER(F41)),
    IF(OR(ISNUMBER(H35), ISNUMBER(H36), ISNUMBER(H37), ISNUMBER(H38), ISNUMBER(H39), ISNUMBER(H40)), " + ", "") &amp; H41 &amp; " * ((" &amp; G41 &amp; " / 2) + " &amp; F41 &amp; ")", "")
&amp; IF(AND(ISNUMBER(H42), ISNUMBER(G42), ISNUMBER(F42)),
    IF(OR(ISNUMBER(H35), ISNUMBER(H36), ISNUMBER(H37), ISNUMBER(H38), ISNUMBER(H39), ISNUMBER(H40), ISNUMBER(H41)), " + ", "") &amp; H42 &amp; " * ((" &amp; G42 &amp; " / 2) + " &amp; F42 &amp; ")", "")
&amp; " / ("
&amp; IF(ISNUMBER(H35),H35 &amp; IF(ISNUMBER(H36)," + ", ""), "")
&amp;IF(ISNUMBER(H36),H36 &amp; IF(ISNUMBER(H37)," + ", ""), "")
&amp;IF(ISNUMBER(H37),H37 &amp; IF(ISNUMBER(H38)," + ", ""), "")
&amp;IF(ISNUMBER(H38),H38 &amp; IF(ISNUMBER(H39)," + ", ""), "")
&amp;IF(ISNUMBER(H39),H39 &amp; IF(ISNUMBER(H40)," + ", ""), "")
&amp;IF(ISNUMBER(H40),H40 &amp; IF(ISNUMBER(H41)," + ", ""), "")
&amp;IF(ISNUMBER(H41),H41 &amp; IF(ISNUMBER(H42)," + ", ""), "")
&amp;IF(ISNUMBER(H42),H42,)
&amp; ")"</f>
        <v>10200 * ((340 / 2) + 0) + 6400 * ((20 / 2) + 40) + 6400 * ((20 / 2) + 280) + 9000 * ((300 / 2) + 20) / (10200 + 6400 + 6400 + 9000)</v>
      </c>
      <c r="G58" s="93"/>
      <c r="H58" s="93"/>
      <c r="I58" s="93"/>
      <c r="J58" s="93"/>
      <c r="K58" s="94"/>
    </row>
    <row r="59" spans="3:11" ht="15.75" thickBot="1">
      <c r="C59" s="55" t="s">
        <v>30</v>
      </c>
      <c r="D59" s="56"/>
      <c r="E59" s="56"/>
      <c r="F59" s="56"/>
      <c r="G59" s="56"/>
      <c r="H59" s="56"/>
      <c r="I59" s="56"/>
      <c r="J59" s="56"/>
      <c r="K59" s="57"/>
    </row>
    <row r="60" spans="3:11">
      <c r="C60" s="60" t="s">
        <v>61</v>
      </c>
      <c r="D60" s="58" t="s">
        <v>32</v>
      </c>
      <c r="E60" s="58"/>
      <c r="F60" s="58" t="s">
        <v>21</v>
      </c>
      <c r="G60" s="58"/>
      <c r="H60" s="58"/>
      <c r="I60" s="58"/>
      <c r="J60" s="58"/>
      <c r="K60" s="62"/>
    </row>
    <row r="61" spans="3:11" ht="15" thickBot="1">
      <c r="C61" s="61"/>
      <c r="D61" s="59"/>
      <c r="E61" s="59"/>
      <c r="F61" s="59"/>
      <c r="G61" s="59"/>
      <c r="H61" s="59"/>
      <c r="I61" s="59"/>
      <c r="J61" s="59"/>
      <c r="K61" s="63"/>
    </row>
    <row r="62" spans="3:11" ht="15.75">
      <c r="C62" s="9" t="s">
        <v>53</v>
      </c>
      <c r="D62" s="86">
        <f>(IF(AND(ISNUMBER(H35),ISNUMBER(E35),ISNUMBER(D35)),(H35*((E35/2)+D35)),""))</f>
        <v>153000</v>
      </c>
      <c r="E62" s="86"/>
      <c r="F62" s="89" t="str">
        <f>IF(AND(ISNUMBER(H35), ISNUMBER(E35), ISNUMBER(D35)),
    H35 &amp; " * ((" &amp; E35 &amp; " / 2) + " &amp; D35 &amp; ")",
    ""
)</f>
        <v>10200 * ((30 / 2) + 0)</v>
      </c>
      <c r="G62" s="90"/>
      <c r="H62" s="90"/>
      <c r="I62" s="90"/>
      <c r="J62" s="90"/>
      <c r="K62" s="91"/>
    </row>
    <row r="63" spans="3:11" ht="15.75">
      <c r="C63" s="9" t="s">
        <v>54</v>
      </c>
      <c r="D63" s="86">
        <f t="shared" ref="D63:D68" si="3">IF(AND(ISNUMBER(H36), ISNUMBER(E36), ISNUMBER(D36)), (H36*((E36/2)+D36)), "")</f>
        <v>1216000</v>
      </c>
      <c r="E63" s="86"/>
      <c r="F63" s="80" t="str">
        <f t="shared" ref="F63:F69" si="4">IF(AND(ISNUMBER(H36), ISNUMBER(E36), ISNUMBER(D36)),
    " + " &amp; H36 &amp; " * ((" &amp; E36 &amp; " / 2) + " &amp; D36 &amp; ")",
    ""
)</f>
        <v xml:space="preserve"> + 6400 * ((320 / 2) + 30)</v>
      </c>
      <c r="G63" s="81"/>
      <c r="H63" s="81"/>
      <c r="I63" s="81"/>
      <c r="J63" s="81"/>
      <c r="K63" s="82"/>
    </row>
    <row r="64" spans="3:11" ht="15.75">
      <c r="C64" s="9" t="s">
        <v>55</v>
      </c>
      <c r="D64" s="86">
        <f t="shared" si="3"/>
        <v>1216000</v>
      </c>
      <c r="E64" s="86"/>
      <c r="F64" s="80" t="str">
        <f t="shared" si="4"/>
        <v xml:space="preserve"> + 6400 * ((320 / 2) + 30)</v>
      </c>
      <c r="G64" s="81"/>
      <c r="H64" s="81"/>
      <c r="I64" s="81"/>
      <c r="J64" s="81"/>
      <c r="K64" s="82"/>
    </row>
    <row r="65" spans="2:17" ht="15.75">
      <c r="C65" s="9" t="s">
        <v>56</v>
      </c>
      <c r="D65" s="86">
        <f t="shared" si="3"/>
        <v>3285000</v>
      </c>
      <c r="E65" s="86"/>
      <c r="F65" s="80" t="str">
        <f t="shared" si="4"/>
        <v xml:space="preserve"> + 9000 * ((30 / 2) + 350)</v>
      </c>
      <c r="G65" s="81"/>
      <c r="H65" s="81"/>
      <c r="I65" s="81"/>
      <c r="J65" s="81"/>
      <c r="K65" s="82"/>
    </row>
    <row r="66" spans="2:17" ht="15.75">
      <c r="C66" s="9" t="s">
        <v>57</v>
      </c>
      <c r="D66" s="86" t="str">
        <f t="shared" si="3"/>
        <v/>
      </c>
      <c r="E66" s="86"/>
      <c r="F66" s="80" t="str">
        <f t="shared" si="4"/>
        <v/>
      </c>
      <c r="G66" s="81"/>
      <c r="H66" s="81"/>
      <c r="I66" s="81"/>
      <c r="J66" s="81"/>
      <c r="K66" s="82"/>
    </row>
    <row r="67" spans="2:17" ht="15.75">
      <c r="C67" s="9" t="s">
        <v>58</v>
      </c>
      <c r="D67" s="86" t="str">
        <f t="shared" si="3"/>
        <v/>
      </c>
      <c r="E67" s="86"/>
      <c r="F67" s="80" t="str">
        <f t="shared" si="4"/>
        <v/>
      </c>
      <c r="G67" s="81"/>
      <c r="H67" s="81"/>
      <c r="I67" s="81"/>
      <c r="J67" s="81"/>
      <c r="K67" s="82"/>
    </row>
    <row r="68" spans="2:17" ht="15.75">
      <c r="C68" s="9" t="s">
        <v>59</v>
      </c>
      <c r="D68" s="86" t="str">
        <f t="shared" si="3"/>
        <v/>
      </c>
      <c r="E68" s="86"/>
      <c r="F68" s="80" t="str">
        <f t="shared" si="4"/>
        <v/>
      </c>
      <c r="G68" s="81"/>
      <c r="H68" s="81"/>
      <c r="I68" s="81"/>
      <c r="J68" s="81"/>
      <c r="K68" s="82"/>
    </row>
    <row r="69" spans="2:17" ht="16.5" thickBot="1">
      <c r="C69" s="12" t="s">
        <v>60</v>
      </c>
      <c r="D69" s="79" t="str">
        <f>IF(AND(ISNUMBER(H42),ISNUMBER(E42),ISNUMBER(D42)),(H42*((E42/2)+D42)),"")</f>
        <v/>
      </c>
      <c r="E69" s="79"/>
      <c r="F69" s="80" t="str">
        <f t="shared" si="4"/>
        <v/>
      </c>
      <c r="G69" s="81"/>
      <c r="H69" s="81"/>
      <c r="I69" s="81"/>
      <c r="J69" s="81"/>
      <c r="K69" s="82"/>
    </row>
    <row r="70" spans="2:17" ht="15.75">
      <c r="C70" s="15" t="s">
        <v>29</v>
      </c>
      <c r="D70" s="83">
        <f>SUM(D62:D69)</f>
        <v>5870000</v>
      </c>
      <c r="E70" s="83"/>
      <c r="F70" s="4"/>
      <c r="G70" s="4"/>
      <c r="H70" s="4"/>
      <c r="I70" s="8"/>
      <c r="J70" s="4"/>
      <c r="K70" s="18"/>
    </row>
    <row r="71" spans="2:17" ht="16.5" thickBot="1">
      <c r="C71" s="15" t="s">
        <v>33</v>
      </c>
      <c r="D71" s="84">
        <f>(IF(ISNUMBER(H35), H35, 0)
+ IF(ISNUMBER(H36), H36, 0)
+ IF(ISNUMBER(H37), H37, 0)
+ IF(ISNUMBER(H38), H38, 0)
+ IF(ISNUMBER(H39), H39, 0)
+ IF(ISNUMBER(H40), H40, 0)
+ IF(ISNUMBER(H41), H41, 0)
+ IF(ISNUMBER(H42), H42, 0))</f>
        <v>32000</v>
      </c>
      <c r="E71" s="84"/>
      <c r="F71" s="85" t="str">
        <f>IF(ISNUMBER(H35), H35 &amp; IF(ISNUMBER(H36), " + ", ""), "")
&amp; IF(ISNUMBER(H36), H36 &amp; IF(ISNUMBER(H37), " + ", ""), "")
&amp; IF(ISNUMBER(H37), H37 &amp; IF(ISNUMBER(H38), " + ", ""), "")
&amp; IF(ISNUMBER(H38), H38 &amp; IF(ISNUMBER(H39), " + ", ""), "")
&amp; IF(ISNUMBER(H39), H39 &amp; IF(ISNUMBER(H40), " + ", ""), "")
&amp; IF(ISNUMBER(H40), H40 &amp; IF(ISNUMBER(H41), " + ", ""), "")
&amp; IF(ISNUMBER(H41), H41 &amp; IF(ISNUMBER(H42), " + ", ""), "")
&amp; IF(ISNUMBER(H42), H42, "")</f>
        <v>10200 + 6400 + 6400 + 9000</v>
      </c>
      <c r="G71" s="73"/>
      <c r="H71" s="73"/>
      <c r="I71" s="73"/>
      <c r="J71" s="73"/>
      <c r="K71" s="74"/>
    </row>
    <row r="72" spans="2:17" ht="16.5" thickBot="1">
      <c r="C72" s="16" t="s">
        <v>19</v>
      </c>
      <c r="D72" s="95">
        <f>D70/D71</f>
        <v>183.4375</v>
      </c>
      <c r="E72" s="95"/>
      <c r="F72" s="92" t="str">
        <f>IF(AND(ISNUMBER(H35), ISNUMBER(E35), ISNUMBER(D35)),
    H35 &amp; " * ((" &amp; E35 &amp; " / 2) + " &amp; D35 &amp; ")",
    ""
)
&amp; IF(AND(ISNUMBER(H36), ISNUMBER(E36), ISNUMBER(D36)),
    " + " &amp; H36 &amp; " * ((" &amp; E36 &amp; " / 2) + " &amp; D36 &amp; ")",
    ""
)
&amp; IF(AND(ISNUMBER(H37), ISNUMBER(E37), ISNUMBER(D37)),
    " + " &amp; H37 &amp; " * ((" &amp; E37 &amp; " / 2) + " &amp; D37 &amp; ")",
    ""
)
&amp; IF(AND(ISNUMBER(H38), ISNUMBER(E38), ISNUMBER(D38)),
    " + " &amp; H38 &amp; " * ((" &amp; E38 &amp; " / 2) + " &amp; D38 &amp; ")",
    ""
)
&amp; IF(AND(ISNUMBER(H39), ISNUMBER(E39), ISNUMBER(D39)),
    " + " &amp; H39 &amp; " * ((" &amp; E39 &amp; " / 2) + " &amp; D39 &amp; ")",
    ""
)
&amp; IF(AND(ISNUMBER(H40), ISNUMBER(E40), ISNUMBER(D40)),
    " + " &amp; H40 &amp; " * ((" &amp; E40 &amp; " / 2) + " &amp; D40 &amp; ")",
    ""
)
&amp; IF(AND(ISNUMBER(H41), ISNUMBER(E41), ISNUMBER(D41)),
    " + " &amp; H41 &amp; " * ((" &amp; E41 &amp; " / 2) + " &amp; D41 &amp; ")",
    ""
)
&amp; IF(AND(ISNUMBER(H42), ISNUMBER(E42), ISNUMBER(D42)),
    " + " &amp; H42 &amp; " * ((" &amp; E42 &amp; " / 2) + " &amp; D42 &amp; ")",
    ""
)
&amp; " / ("
&amp; IF(ISNUMBER(H35), H35 &amp; IF(ISNUMBER(H36), " + ", ""), "")
&amp; IF(ISNUMBER(H36), H36 &amp; IF(ISNUMBER(H37), " + ", ""), "")
&amp; IF(ISNUMBER(H37), H37 &amp; IF(ISNUMBER(H38), " + ", ""), "")
&amp; IF(ISNUMBER(H38), H38 &amp; IF(ISNUMBER(H39), " + ", ""), "")
&amp; IF(ISNUMBER(H39), H39 &amp; IF(ISNUMBER(H40), " + ", ""), "")
&amp; IF(ISNUMBER(H40), H40 &amp; IF(ISNUMBER(H41), " + ", ""), "")
&amp; IF(ISNUMBER(H41), H41 &amp; IF(ISNUMBER(H42), " + ", ""), "")
&amp; IF(ISNUMBER(H42), H42, "")
&amp; ")"</f>
        <v>10200 * ((30 / 2) + 0) + 6400 * ((320 / 2) + 30) + 6400 * ((320 / 2) + 30) + 9000 * ((30 / 2) + 350) / (10200 + 6400 + 6400 + 9000)</v>
      </c>
      <c r="G72" s="93"/>
      <c r="H72" s="93"/>
      <c r="I72" s="93"/>
      <c r="J72" s="93"/>
      <c r="K72" s="94"/>
    </row>
    <row r="73" spans="2:17" ht="15" thickBot="1">
      <c r="E73" s="4"/>
      <c r="F73" s="4"/>
      <c r="G73" s="4"/>
      <c r="H73" s="4"/>
      <c r="I73" s="8"/>
      <c r="J73" s="4"/>
      <c r="K73" s="4"/>
    </row>
    <row r="74" spans="2:17" ht="18.75" thickBot="1">
      <c r="B74" s="76" t="s">
        <v>82</v>
      </c>
      <c r="C74" s="77"/>
      <c r="D74" s="77"/>
      <c r="E74" s="77"/>
      <c r="F74" s="77"/>
      <c r="G74" s="77"/>
      <c r="H74" s="77"/>
      <c r="I74" s="77"/>
      <c r="J74" s="77"/>
      <c r="K74" s="78"/>
    </row>
    <row r="75" spans="2:17" ht="15.75" thickBot="1">
      <c r="C75" s="55" t="s">
        <v>69</v>
      </c>
      <c r="D75" s="56"/>
      <c r="E75" s="56"/>
      <c r="F75" s="56"/>
      <c r="G75" s="56"/>
      <c r="H75" s="56"/>
      <c r="I75" s="56"/>
      <c r="J75" s="56"/>
      <c r="K75" s="57"/>
      <c r="L75" s="4"/>
      <c r="M75" s="4"/>
      <c r="N75" s="4"/>
      <c r="O75" s="4"/>
      <c r="P75" s="4"/>
      <c r="Q75" s="4"/>
    </row>
    <row r="76" spans="2:17">
      <c r="C76" s="60" t="s">
        <v>61</v>
      </c>
      <c r="D76" s="115" t="s">
        <v>78</v>
      </c>
      <c r="E76" s="115"/>
      <c r="F76" s="111" t="s">
        <v>14</v>
      </c>
      <c r="G76" s="111"/>
      <c r="H76" s="58" t="s">
        <v>21</v>
      </c>
      <c r="I76" s="58"/>
      <c r="J76" s="58"/>
      <c r="K76" s="62"/>
      <c r="L76" s="4"/>
      <c r="M76" s="4"/>
      <c r="N76" s="4"/>
      <c r="O76" s="4"/>
      <c r="P76" s="4"/>
      <c r="Q76" s="4"/>
    </row>
    <row r="77" spans="2:17" ht="15" thickBot="1">
      <c r="C77" s="61"/>
      <c r="D77" s="116"/>
      <c r="E77" s="116"/>
      <c r="F77" s="112"/>
      <c r="G77" s="112"/>
      <c r="H77" s="59"/>
      <c r="I77" s="59"/>
      <c r="J77" s="59"/>
      <c r="K77" s="63"/>
      <c r="L77" s="4" t="s">
        <v>2</v>
      </c>
      <c r="M77" s="4" t="s">
        <v>3</v>
      </c>
      <c r="N77" s="4" t="s">
        <v>4</v>
      </c>
      <c r="O77" s="4" t="s">
        <v>5</v>
      </c>
      <c r="P77" s="4" t="s">
        <v>6</v>
      </c>
      <c r="Q77" s="4"/>
    </row>
    <row r="78" spans="2:17" ht="15.75">
      <c r="C78" s="9" t="s">
        <v>53</v>
      </c>
      <c r="D78" s="96">
        <f>IF(OR(ISBLANK(G35), ISBLANK(F35), ISBLANK(D58)), "", ABS(((G35/2) + F35) -D58))</f>
        <v>0</v>
      </c>
      <c r="E78" s="96"/>
      <c r="F78" s="96">
        <f t="shared" ref="F78:F85" si="5">IF(OR(ISBLANK(E35), ISBLANK(G35), ISBLANK(H35), ISBLANK(D78)), "", IF(D78=0, E35*G35^3*1/12, E35*G35^3*1/12 + H35*D78^2))</f>
        <v>98260000</v>
      </c>
      <c r="G78" s="96"/>
      <c r="H78" s="100" t="str">
        <f t="shared" ref="H78:H85" si="6">IF(OR(ISBLANK(E35), ISBLANK(G35), ISBLANK(H35), ISBLANK(D78)), "",
    IF(D78=0,
    "(" &amp; E35 &amp; " * " &amp; G35 &amp; "³ * (1/12)) = " &amp; ROUND(E35*G35^3*(1/12), 1),
    "(" &amp; E35 &amp; " * " &amp; G35 &amp; "³ * (1/12)) + (" &amp; H35 &amp; " * " &amp; D78 &amp; "²) = " &amp; ROUND((E35*G35^3*(1/12)) + (H35*D78^2), 1)
    )
)</f>
        <v>(30 * 340³ * (1/12)) = 98260000</v>
      </c>
      <c r="I78" s="100"/>
      <c r="J78" s="100"/>
      <c r="K78" s="101"/>
      <c r="L78" s="4">
        <f t="shared" ref="L78:L85" si="7">D35</f>
        <v>0</v>
      </c>
      <c r="M78" s="4">
        <f t="shared" ref="M78:M85" si="8">D35+E35</f>
        <v>30</v>
      </c>
      <c r="N78" s="4">
        <f t="shared" ref="N78:N85" si="9">D35+E35</f>
        <v>30</v>
      </c>
      <c r="O78" s="4">
        <f t="shared" ref="O78:O85" si="10">D35</f>
        <v>0</v>
      </c>
      <c r="P78" s="4">
        <f t="shared" ref="P78:P85" si="11">D35</f>
        <v>0</v>
      </c>
      <c r="Q78" s="4"/>
    </row>
    <row r="79" spans="2:17" ht="15.75">
      <c r="C79" s="9" t="s">
        <v>54</v>
      </c>
      <c r="D79" s="87">
        <f>IF(OR(ISBLANK(G36), ISBLANK(F36), ISBLANK(D58)), "", ABS(((G36/2) + F36) -D58))</f>
        <v>120</v>
      </c>
      <c r="E79" s="87"/>
      <c r="F79" s="87">
        <f t="shared" si="5"/>
        <v>92373333.333333328</v>
      </c>
      <c r="G79" s="87"/>
      <c r="H79" s="98" t="str">
        <f t="shared" si="6"/>
        <v>(320 * 20³ * (1/12)) + (6400 * 120²) = 92373333.3</v>
      </c>
      <c r="I79" s="98"/>
      <c r="J79" s="98"/>
      <c r="K79" s="99"/>
      <c r="L79" s="4">
        <f t="shared" si="7"/>
        <v>30</v>
      </c>
      <c r="M79" s="14">
        <f t="shared" si="8"/>
        <v>350</v>
      </c>
      <c r="N79" s="14">
        <f t="shared" si="9"/>
        <v>350</v>
      </c>
      <c r="O79" s="14">
        <f t="shared" si="10"/>
        <v>30</v>
      </c>
      <c r="P79" s="14">
        <f t="shared" si="11"/>
        <v>30</v>
      </c>
      <c r="Q79" s="4"/>
    </row>
    <row r="80" spans="2:17" ht="15.75">
      <c r="C80" s="9" t="s">
        <v>55</v>
      </c>
      <c r="D80" s="87">
        <f>IF(OR(ISBLANK(G37), ISBLANK(F37), ISBLANK(D58)), "", ABS(((G37/2) + F37) -D58))</f>
        <v>120</v>
      </c>
      <c r="E80" s="87"/>
      <c r="F80" s="87">
        <f t="shared" si="5"/>
        <v>92373333.333333328</v>
      </c>
      <c r="G80" s="87"/>
      <c r="H80" s="98" t="str">
        <f t="shared" si="6"/>
        <v>(320 * 20³ * (1/12)) + (6400 * 120²) = 92373333.3</v>
      </c>
      <c r="I80" s="98"/>
      <c r="J80" s="98"/>
      <c r="K80" s="99"/>
      <c r="L80" s="4">
        <f t="shared" si="7"/>
        <v>30</v>
      </c>
      <c r="M80" s="14">
        <f t="shared" si="8"/>
        <v>350</v>
      </c>
      <c r="N80" s="14">
        <f t="shared" si="9"/>
        <v>350</v>
      </c>
      <c r="O80" s="14">
        <f t="shared" si="10"/>
        <v>30</v>
      </c>
      <c r="P80" s="14">
        <f t="shared" si="11"/>
        <v>30</v>
      </c>
      <c r="Q80" s="4"/>
    </row>
    <row r="81" spans="2:17" ht="15.75">
      <c r="C81" s="9" t="s">
        <v>56</v>
      </c>
      <c r="D81" s="87">
        <f>IF(OR(ISBLANK(G38), ISBLANK(F38), ISBLANK(D58)), "", ABS(((G38/2) + F38) -D58))</f>
        <v>0</v>
      </c>
      <c r="E81" s="87"/>
      <c r="F81" s="87">
        <f t="shared" si="5"/>
        <v>67500000</v>
      </c>
      <c r="G81" s="87"/>
      <c r="H81" s="98" t="str">
        <f t="shared" si="6"/>
        <v>(30 * 300³ * (1/12)) = 67500000</v>
      </c>
      <c r="I81" s="98"/>
      <c r="J81" s="98"/>
      <c r="K81" s="99"/>
      <c r="L81" s="4">
        <f t="shared" si="7"/>
        <v>350</v>
      </c>
      <c r="M81" s="14">
        <f t="shared" si="8"/>
        <v>380</v>
      </c>
      <c r="N81" s="14">
        <f t="shared" si="9"/>
        <v>380</v>
      </c>
      <c r="O81" s="14">
        <f t="shared" si="10"/>
        <v>350</v>
      </c>
      <c r="P81" s="14">
        <f t="shared" si="11"/>
        <v>350</v>
      </c>
      <c r="Q81" s="4"/>
    </row>
    <row r="82" spans="2:17" ht="15.75">
      <c r="C82" s="9" t="s">
        <v>57</v>
      </c>
      <c r="D82" s="87" t="str">
        <f>IF(OR(ISBLANK(G39), ISBLANK(F39), ISBLANK(D58)), "", ABS(((G39/2) + F39) -D58))</f>
        <v/>
      </c>
      <c r="E82" s="87"/>
      <c r="F82" s="87" t="str">
        <f t="shared" si="5"/>
        <v/>
      </c>
      <c r="G82" s="87"/>
      <c r="H82" s="98" t="str">
        <f t="shared" si="6"/>
        <v/>
      </c>
      <c r="I82" s="98"/>
      <c r="J82" s="98"/>
      <c r="K82" s="99"/>
      <c r="L82" s="14">
        <f t="shared" si="7"/>
        <v>0</v>
      </c>
      <c r="M82" s="14">
        <f t="shared" si="8"/>
        <v>0</v>
      </c>
      <c r="N82" s="14">
        <f t="shared" si="9"/>
        <v>0</v>
      </c>
      <c r="O82" s="14">
        <f t="shared" si="10"/>
        <v>0</v>
      </c>
      <c r="P82" s="14">
        <f t="shared" si="11"/>
        <v>0</v>
      </c>
      <c r="Q82" s="4"/>
    </row>
    <row r="83" spans="2:17" ht="15.75">
      <c r="C83" s="9" t="s">
        <v>58</v>
      </c>
      <c r="D83" s="87" t="str">
        <f>IF(OR(ISBLANK(G40), ISBLANK(F40), ISBLANK(D58)), "", ABS(((G40/2) + F40) -D58))</f>
        <v/>
      </c>
      <c r="E83" s="87"/>
      <c r="F83" s="87" t="str">
        <f t="shared" si="5"/>
        <v/>
      </c>
      <c r="G83" s="87"/>
      <c r="H83" s="98" t="str">
        <f t="shared" si="6"/>
        <v/>
      </c>
      <c r="I83" s="98"/>
      <c r="J83" s="98"/>
      <c r="K83" s="99"/>
      <c r="L83" s="14">
        <f t="shared" si="7"/>
        <v>0</v>
      </c>
      <c r="M83" s="14">
        <f t="shared" si="8"/>
        <v>0</v>
      </c>
      <c r="N83" s="14">
        <f t="shared" si="9"/>
        <v>0</v>
      </c>
      <c r="O83" s="14">
        <f t="shared" si="10"/>
        <v>0</v>
      </c>
      <c r="P83" s="14">
        <f t="shared" si="11"/>
        <v>0</v>
      </c>
      <c r="Q83" s="4"/>
    </row>
    <row r="84" spans="2:17" ht="15.75">
      <c r="C84" s="9" t="s">
        <v>59</v>
      </c>
      <c r="D84" s="87" t="str">
        <f>IF(OR(ISBLANK(G41), ISBLANK(F41), ISBLANK(D58)), "", ABS(((G41/2) + F41) -D58))</f>
        <v/>
      </c>
      <c r="E84" s="87"/>
      <c r="F84" s="87" t="str">
        <f t="shared" si="5"/>
        <v/>
      </c>
      <c r="G84" s="87"/>
      <c r="H84" s="98" t="str">
        <f t="shared" si="6"/>
        <v/>
      </c>
      <c r="I84" s="98"/>
      <c r="J84" s="98"/>
      <c r="K84" s="99"/>
      <c r="L84" s="14">
        <f t="shared" si="7"/>
        <v>0</v>
      </c>
      <c r="M84" s="14">
        <f t="shared" si="8"/>
        <v>0</v>
      </c>
      <c r="N84" s="14">
        <f t="shared" si="9"/>
        <v>0</v>
      </c>
      <c r="O84" s="14">
        <f t="shared" si="10"/>
        <v>0</v>
      </c>
      <c r="P84" s="14">
        <f t="shared" si="11"/>
        <v>0</v>
      </c>
      <c r="Q84" s="4"/>
    </row>
    <row r="85" spans="2:17" ht="16.5" thickBot="1">
      <c r="C85" s="12" t="s">
        <v>60</v>
      </c>
      <c r="D85" s="88" t="str">
        <f>IF(OR(ISBLANK(G42), ISBLANK(F42), ISBLANK(D58)), "", ABS(((G42/2) + F42) -D58))</f>
        <v/>
      </c>
      <c r="E85" s="88"/>
      <c r="F85" s="88" t="str">
        <f t="shared" si="5"/>
        <v/>
      </c>
      <c r="G85" s="88"/>
      <c r="H85" s="104" t="str">
        <f t="shared" si="6"/>
        <v/>
      </c>
      <c r="I85" s="104"/>
      <c r="J85" s="104"/>
      <c r="K85" s="105"/>
      <c r="L85" s="14">
        <f t="shared" si="7"/>
        <v>0</v>
      </c>
      <c r="M85" s="14">
        <f t="shared" si="8"/>
        <v>0</v>
      </c>
      <c r="N85" s="14">
        <f t="shared" si="9"/>
        <v>0</v>
      </c>
      <c r="O85" s="14">
        <f t="shared" si="10"/>
        <v>0</v>
      </c>
      <c r="P85" s="14">
        <f t="shared" si="11"/>
        <v>0</v>
      </c>
      <c r="Q85" s="4"/>
    </row>
    <row r="86" spans="2:17" ht="16.5" thickBot="1">
      <c r="C86" s="16" t="s">
        <v>29</v>
      </c>
      <c r="D86" s="17"/>
      <c r="E86" s="17"/>
      <c r="F86" s="95">
        <f>SUM(F78:F85)</f>
        <v>350506666.66666663</v>
      </c>
      <c r="G86" s="95"/>
      <c r="H86" s="119" t="str">
        <f>"Iy = "&amp;(ROUND(F86/10^6,2))&amp;" * 10⁶"</f>
        <v>Iy = 350.51 * 10⁶</v>
      </c>
      <c r="I86" s="120"/>
      <c r="J86" s="120"/>
      <c r="K86" s="121"/>
      <c r="L86" s="4"/>
      <c r="M86" s="4"/>
      <c r="N86" s="4"/>
      <c r="O86" s="4"/>
      <c r="P86" s="4"/>
      <c r="Q86" s="4"/>
    </row>
    <row r="87" spans="2:17" ht="15.75" thickBot="1">
      <c r="C87" s="55" t="s">
        <v>70</v>
      </c>
      <c r="D87" s="56"/>
      <c r="E87" s="56"/>
      <c r="F87" s="56"/>
      <c r="G87" s="56"/>
      <c r="H87" s="56"/>
      <c r="I87" s="56"/>
      <c r="J87" s="56"/>
      <c r="K87" s="57"/>
      <c r="L87" s="4"/>
      <c r="M87" s="4"/>
      <c r="N87" s="4"/>
      <c r="O87" s="4"/>
      <c r="P87" s="4"/>
      <c r="Q87" s="4"/>
    </row>
    <row r="88" spans="2:17">
      <c r="C88" s="60" t="s">
        <v>61</v>
      </c>
      <c r="D88" s="115" t="s">
        <v>77</v>
      </c>
      <c r="E88" s="115"/>
      <c r="F88" s="111" t="s">
        <v>15</v>
      </c>
      <c r="G88" s="111"/>
      <c r="H88" s="58" t="s">
        <v>21</v>
      </c>
      <c r="I88" s="58"/>
      <c r="J88" s="58"/>
      <c r="K88" s="62"/>
      <c r="L88" s="4"/>
      <c r="M88" s="4"/>
      <c r="N88" s="4"/>
      <c r="O88" s="4"/>
      <c r="P88" s="4"/>
      <c r="Q88" s="4"/>
    </row>
    <row r="89" spans="2:17" ht="15" thickBot="1">
      <c r="C89" s="61"/>
      <c r="D89" s="116"/>
      <c r="E89" s="116"/>
      <c r="F89" s="112"/>
      <c r="G89" s="112"/>
      <c r="H89" s="59"/>
      <c r="I89" s="59"/>
      <c r="J89" s="59"/>
      <c r="K89" s="63"/>
      <c r="L89" s="14" t="s">
        <v>7</v>
      </c>
      <c r="M89" s="14" t="s">
        <v>8</v>
      </c>
      <c r="N89" s="14" t="s">
        <v>9</v>
      </c>
      <c r="O89" s="14" t="s">
        <v>10</v>
      </c>
      <c r="P89" s="14" t="s">
        <v>11</v>
      </c>
      <c r="Q89" s="4"/>
    </row>
    <row r="90" spans="2:17" ht="15.75">
      <c r="C90" s="9" t="s">
        <v>53</v>
      </c>
      <c r="D90" s="96">
        <f>IF(OR(ISBLANK(E35), ISBLANK(D35), ISBLANK(D72)), "", ABS(((E35/2) + D35) -D72))</f>
        <v>168.4375</v>
      </c>
      <c r="E90" s="96"/>
      <c r="F90" s="96">
        <f t="shared" ref="F90:F97" si="12">IF(OR(ISBLANK(G35), ISBLANK(E35), ISBLANK(H35), ISBLANK(D90)), "",
    IF(D90=0, (G35*E35^3*1/12), (G35*E35^3*1/12) + (H35*D90^2))
)</f>
        <v>290151152.34375</v>
      </c>
      <c r="G90" s="96"/>
      <c r="H90" s="98" t="str">
        <f t="shared" ref="H90:H97" si="13">IF(OR(ISBLANK(G35), ISBLANK(E35), ISBLANK(H35), ISBLANK(D90)), "",
    IF(D90=0,
    "(" &amp; G35 &amp; " * " &amp; E35 &amp; "³ * (1/12)) = " &amp; ROUND(G35*E35^3*(1/12), 1),
    "(" &amp; G35 &amp; " * " &amp; E35 &amp; "³ * (1/12)) + (" &amp; H35 &amp; " * " &amp; D90 &amp; "²) = " &amp; ROUND((G35*E35^3*(1/12)) + (H35*D90^2), 1)
    )
)</f>
        <v>(340 * 30³ * (1/12)) + (10200 * 168.4375²) = 290151152.3</v>
      </c>
      <c r="I90" s="98"/>
      <c r="J90" s="98"/>
      <c r="K90" s="99"/>
      <c r="L90" s="14">
        <f t="shared" ref="L90:L97" si="14">F35</f>
        <v>0</v>
      </c>
      <c r="M90" s="14">
        <f t="shared" ref="M90:M97" si="15">F35</f>
        <v>0</v>
      </c>
      <c r="N90" s="14">
        <f t="shared" ref="N90:N97" si="16">F35+G35</f>
        <v>340</v>
      </c>
      <c r="O90" s="14">
        <f t="shared" ref="O90:O97" si="17">F35+G35</f>
        <v>340</v>
      </c>
      <c r="P90" s="14">
        <f t="shared" ref="P90:P97" si="18">F35</f>
        <v>0</v>
      </c>
      <c r="Q90" s="4"/>
    </row>
    <row r="91" spans="2:17" ht="15.75">
      <c r="C91" s="9" t="s">
        <v>54</v>
      </c>
      <c r="D91" s="96">
        <f>IF(OR(ISBLANK(E36), ISBLANK(D36), ISBLANK(D72)), "", ABS(((E36/2) + D36) - D72))</f>
        <v>6.5625</v>
      </c>
      <c r="E91" s="96"/>
      <c r="F91" s="96">
        <f t="shared" si="12"/>
        <v>54888958.333333336</v>
      </c>
      <c r="G91" s="96"/>
      <c r="H91" s="98" t="str">
        <f t="shared" si="13"/>
        <v>(20 * 320³ * (1/12)) + (6400 * 6.5625²) = 54888958.3</v>
      </c>
      <c r="I91" s="98"/>
      <c r="J91" s="98"/>
      <c r="K91" s="99"/>
      <c r="L91" s="14">
        <f t="shared" si="14"/>
        <v>40</v>
      </c>
      <c r="M91" s="14">
        <f t="shared" si="15"/>
        <v>40</v>
      </c>
      <c r="N91" s="14">
        <f t="shared" si="16"/>
        <v>60</v>
      </c>
      <c r="O91" s="14">
        <f t="shared" si="17"/>
        <v>60</v>
      </c>
      <c r="P91" s="14">
        <f t="shared" si="18"/>
        <v>40</v>
      </c>
      <c r="Q91" s="4"/>
    </row>
    <row r="92" spans="2:17" ht="15.75">
      <c r="C92" s="9" t="s">
        <v>55</v>
      </c>
      <c r="D92" s="96">
        <f>IF(OR(ISBLANK(E37), ISBLANK(D37), ISBLANK(D72)), "", ABS(((E37/2) + D37) -D72))</f>
        <v>6.5625</v>
      </c>
      <c r="E92" s="96"/>
      <c r="F92" s="96">
        <f t="shared" si="12"/>
        <v>54888958.333333336</v>
      </c>
      <c r="G92" s="96"/>
      <c r="H92" s="98" t="str">
        <f t="shared" si="13"/>
        <v>(20 * 320³ * (1/12)) + (6400 * 6.5625²) = 54888958.3</v>
      </c>
      <c r="I92" s="98"/>
      <c r="J92" s="98"/>
      <c r="K92" s="99"/>
      <c r="L92" s="14">
        <f t="shared" si="14"/>
        <v>280</v>
      </c>
      <c r="M92" s="14">
        <f t="shared" si="15"/>
        <v>280</v>
      </c>
      <c r="N92" s="14">
        <f t="shared" si="16"/>
        <v>300</v>
      </c>
      <c r="O92" s="14">
        <f t="shared" si="17"/>
        <v>300</v>
      </c>
      <c r="P92" s="14">
        <f t="shared" si="18"/>
        <v>280</v>
      </c>
      <c r="Q92" s="4"/>
    </row>
    <row r="93" spans="2:17" ht="15.75">
      <c r="C93" s="9" t="s">
        <v>56</v>
      </c>
      <c r="D93" s="96">
        <f>IF(OR(ISBLANK(E38), ISBLANK(D38), ISBLANK(D72)), "", ABS(((E38/2) + D38) -D72))</f>
        <v>181.5625</v>
      </c>
      <c r="E93" s="96"/>
      <c r="F93" s="96">
        <f t="shared" si="12"/>
        <v>297359472.65625</v>
      </c>
      <c r="G93" s="96"/>
      <c r="H93" s="98" t="str">
        <f t="shared" si="13"/>
        <v>(300 * 30³ * (1/12)) + (9000 * 181.5625²) = 297359472.7</v>
      </c>
      <c r="I93" s="98"/>
      <c r="J93" s="98"/>
      <c r="K93" s="99"/>
      <c r="L93" s="14">
        <f t="shared" si="14"/>
        <v>20</v>
      </c>
      <c r="M93" s="14">
        <f t="shared" si="15"/>
        <v>20</v>
      </c>
      <c r="N93" s="14">
        <f t="shared" si="16"/>
        <v>320</v>
      </c>
      <c r="O93" s="14">
        <f t="shared" si="17"/>
        <v>320</v>
      </c>
      <c r="P93" s="14">
        <f t="shared" si="18"/>
        <v>20</v>
      </c>
      <c r="Q93" s="4"/>
    </row>
    <row r="94" spans="2:17" ht="15.75">
      <c r="C94" s="9" t="s">
        <v>57</v>
      </c>
      <c r="D94" s="96" t="str">
        <f>IF(OR(ISBLANK(E39), ISBLANK(D39), ISBLANK(D72)), "", ABS(((E39/2) + D39) -D72))</f>
        <v/>
      </c>
      <c r="E94" s="96"/>
      <c r="F94" s="96" t="str">
        <f t="shared" si="12"/>
        <v/>
      </c>
      <c r="G94" s="96"/>
      <c r="H94" s="98" t="str">
        <f t="shared" si="13"/>
        <v/>
      </c>
      <c r="I94" s="98"/>
      <c r="J94" s="98"/>
      <c r="K94" s="99"/>
      <c r="L94" s="14">
        <f t="shared" si="14"/>
        <v>0</v>
      </c>
      <c r="M94" s="14">
        <f t="shared" si="15"/>
        <v>0</v>
      </c>
      <c r="N94" s="14">
        <f t="shared" si="16"/>
        <v>0</v>
      </c>
      <c r="O94" s="14">
        <f t="shared" si="17"/>
        <v>0</v>
      </c>
      <c r="P94" s="14">
        <f t="shared" si="18"/>
        <v>0</v>
      </c>
      <c r="Q94" s="4"/>
    </row>
    <row r="95" spans="2:17" ht="15.75">
      <c r="B95" s="9"/>
      <c r="C95" s="9" t="s">
        <v>58</v>
      </c>
      <c r="D95" s="96" t="str">
        <f>IF(OR(ISBLANK(E40), ISBLANK(D40), ISBLANK(D72)), "", ABS(((E40/2) + D40) -D72))</f>
        <v/>
      </c>
      <c r="E95" s="96"/>
      <c r="F95" s="96" t="str">
        <f t="shared" si="12"/>
        <v/>
      </c>
      <c r="G95" s="96"/>
      <c r="H95" s="98" t="str">
        <f t="shared" si="13"/>
        <v/>
      </c>
      <c r="I95" s="98"/>
      <c r="J95" s="98"/>
      <c r="K95" s="99"/>
      <c r="L95" s="14">
        <f t="shared" si="14"/>
        <v>0</v>
      </c>
      <c r="M95" s="14">
        <f t="shared" si="15"/>
        <v>0</v>
      </c>
      <c r="N95" s="14">
        <f t="shared" si="16"/>
        <v>0</v>
      </c>
      <c r="O95" s="14">
        <f t="shared" si="17"/>
        <v>0</v>
      </c>
      <c r="P95" s="14">
        <f t="shared" si="18"/>
        <v>0</v>
      </c>
      <c r="Q95" s="4"/>
    </row>
    <row r="96" spans="2:17" ht="15.75">
      <c r="B96" s="9"/>
      <c r="C96" s="9" t="s">
        <v>59</v>
      </c>
      <c r="D96" s="96" t="str">
        <f>IF(OR(ISBLANK(E41), ISBLANK(D41), ISBLANK(D72)), "", ABS(((E41/2) + D41) -D72))</f>
        <v/>
      </c>
      <c r="E96" s="96"/>
      <c r="F96" s="96" t="str">
        <f t="shared" si="12"/>
        <v/>
      </c>
      <c r="G96" s="96"/>
      <c r="H96" s="98" t="str">
        <f t="shared" si="13"/>
        <v/>
      </c>
      <c r="I96" s="98"/>
      <c r="J96" s="98"/>
      <c r="K96" s="99"/>
      <c r="L96" s="14">
        <f t="shared" si="14"/>
        <v>0</v>
      </c>
      <c r="M96" s="14">
        <f t="shared" si="15"/>
        <v>0</v>
      </c>
      <c r="N96" s="14">
        <f t="shared" si="16"/>
        <v>0</v>
      </c>
      <c r="O96" s="14">
        <f t="shared" si="17"/>
        <v>0</v>
      </c>
      <c r="P96" s="14">
        <f t="shared" si="18"/>
        <v>0</v>
      </c>
      <c r="Q96" s="4"/>
    </row>
    <row r="97" spans="2:17" ht="16.5" thickBot="1">
      <c r="B97" s="9"/>
      <c r="C97" s="12" t="s">
        <v>60</v>
      </c>
      <c r="D97" s="106" t="str">
        <f>IF(OR(ISBLANK(E42), ISBLANK(D42), ISBLANK(D72)), "", ABS(((E42/2) + D42) -D72))</f>
        <v/>
      </c>
      <c r="E97" s="106"/>
      <c r="F97" s="106" t="str">
        <f t="shared" si="12"/>
        <v/>
      </c>
      <c r="G97" s="106"/>
      <c r="H97" s="104" t="str">
        <f t="shared" si="13"/>
        <v/>
      </c>
      <c r="I97" s="104"/>
      <c r="J97" s="104"/>
      <c r="K97" s="105"/>
      <c r="L97" s="14">
        <f t="shared" si="14"/>
        <v>0</v>
      </c>
      <c r="M97" s="14">
        <f t="shared" si="15"/>
        <v>0</v>
      </c>
      <c r="N97" s="14">
        <f t="shared" si="16"/>
        <v>0</v>
      </c>
      <c r="O97" s="14">
        <f t="shared" si="17"/>
        <v>0</v>
      </c>
      <c r="P97" s="14">
        <f t="shared" si="18"/>
        <v>0</v>
      </c>
      <c r="Q97" s="4"/>
    </row>
    <row r="98" spans="2:17" ht="16.5" thickBot="1">
      <c r="C98" s="16" t="s">
        <v>29</v>
      </c>
      <c r="D98" s="19"/>
      <c r="E98" s="17"/>
      <c r="F98" s="95">
        <f>SUM(F90:F97)</f>
        <v>697288541.66666663</v>
      </c>
      <c r="G98" s="95"/>
      <c r="H98" s="107" t="str">
        <f>"Iz = "&amp;(ROUND(F98/10^6,2)&amp;" * 10⁶")</f>
        <v>Iz = 697.29 * 10⁶</v>
      </c>
      <c r="I98" s="107"/>
      <c r="J98" s="107"/>
      <c r="K98" s="108"/>
      <c r="L98" s="4"/>
      <c r="M98" s="4"/>
      <c r="N98" s="4"/>
      <c r="O98" s="4"/>
      <c r="P98" s="4"/>
      <c r="Q98" s="4"/>
    </row>
    <row r="99" spans="2:17" ht="15" thickBot="1"/>
    <row r="100" spans="2:17" ht="18.75" thickBot="1">
      <c r="B100" s="76" t="s">
        <v>79</v>
      </c>
      <c r="C100" s="77"/>
      <c r="D100" s="77"/>
      <c r="E100" s="77"/>
      <c r="F100" s="77"/>
      <c r="G100" s="77"/>
      <c r="H100" s="77"/>
      <c r="I100" s="77"/>
      <c r="J100" s="77"/>
      <c r="K100" s="78"/>
    </row>
    <row r="101" spans="2:17" ht="15.75" thickBot="1">
      <c r="C101" s="55" t="s">
        <v>80</v>
      </c>
      <c r="D101" s="56"/>
      <c r="E101" s="56"/>
      <c r="F101" s="56"/>
      <c r="G101" s="56"/>
      <c r="H101" s="56"/>
      <c r="I101" s="56"/>
      <c r="J101" s="56"/>
      <c r="K101" s="57"/>
    </row>
    <row r="102" spans="2:17">
      <c r="C102" s="60" t="s">
        <v>28</v>
      </c>
      <c r="D102" s="58" t="s">
        <v>63</v>
      </c>
      <c r="E102" s="58"/>
      <c r="F102" s="58" t="s">
        <v>67</v>
      </c>
      <c r="G102" s="58"/>
      <c r="H102" s="58" t="s">
        <v>47</v>
      </c>
      <c r="I102" s="58" t="s">
        <v>27</v>
      </c>
      <c r="J102" s="58" t="s">
        <v>21</v>
      </c>
      <c r="K102" s="62"/>
    </row>
    <row r="103" spans="2:17" ht="15" thickBot="1">
      <c r="C103" s="61"/>
      <c r="D103" s="59"/>
      <c r="E103" s="59"/>
      <c r="F103" s="59"/>
      <c r="G103" s="59"/>
      <c r="H103" s="59"/>
      <c r="I103" s="59"/>
      <c r="J103" s="59"/>
      <c r="K103" s="63"/>
    </row>
    <row r="104" spans="2:17" ht="15.75">
      <c r="C104" s="22" t="s">
        <v>45</v>
      </c>
      <c r="D104" s="84">
        <f>D72</f>
        <v>183.4375</v>
      </c>
      <c r="E104" s="84"/>
      <c r="F104" s="84" cm="1">
        <f t="array" ref="F104">MAX(D35:D42 + E35:E42)</f>
        <v>380</v>
      </c>
      <c r="G104" s="84"/>
      <c r="H104" s="27">
        <f>ABS(F104-D104)</f>
        <v>196.5625</v>
      </c>
      <c r="I104" s="34">
        <f>F98/H104</f>
        <v>3547413.8844727078</v>
      </c>
      <c r="J104" s="98" t="str">
        <f>IF(OR(ISBLANK(F98), ISBLANK(H104)), "",
    IF(H104=0, "",
        "Wo,Y = " &amp; ROUND(F98, 2) &amp; " / " &amp; ROUND(H104, 2) &amp; " / 10^6 = " &amp; ROUND((F98/H104)/10^6, 2) &amp; " * 10^6"
    )
)</f>
        <v>Wo,Y = 697288541.67 / 196.56 / 10^6 = 3.55 * 10^6</v>
      </c>
      <c r="K104" s="99"/>
    </row>
    <row r="105" spans="2:17" ht="16.5" thickBot="1">
      <c r="C105" s="22" t="s">
        <v>46</v>
      </c>
      <c r="D105" s="97">
        <f>D72</f>
        <v>183.4375</v>
      </c>
      <c r="E105" s="97"/>
      <c r="F105" s="97" cm="1">
        <f t="array" ref="F105">MAX(D35:D42 + E35:E42)</f>
        <v>380</v>
      </c>
      <c r="G105" s="97"/>
      <c r="H105" s="31">
        <f>ABS(F105-D105)</f>
        <v>196.5625</v>
      </c>
      <c r="I105" s="34">
        <f>F98/D105</f>
        <v>3801232.2544009085</v>
      </c>
      <c r="J105" s="102" t="str">
        <f>IF(OR(ISBLANK(F98), ISBLANK(D105)), "",
    IF(D105=0, "",
        "Wu,Y = " &amp; ROUND(F98, 2) &amp; " / " &amp; ROUND(D105, 2) &amp; " / 10^6 = " &amp; ROUND((F98/D105)/10^6, 2) &amp; " * 10^6"
    )
)</f>
        <v>Wu,Y = 697288541.67 / 183.44 / 10^6 = 3.8 * 10^6</v>
      </c>
      <c r="K105" s="103"/>
    </row>
    <row r="106" spans="2:17" ht="15.75" thickBot="1">
      <c r="C106" s="55" t="s">
        <v>81</v>
      </c>
      <c r="D106" s="56"/>
      <c r="E106" s="56"/>
      <c r="F106" s="56"/>
      <c r="G106" s="56"/>
      <c r="H106" s="56"/>
      <c r="I106" s="56"/>
      <c r="J106" s="56"/>
      <c r="K106" s="57"/>
    </row>
    <row r="107" spans="2:17">
      <c r="C107" s="60" t="s">
        <v>28</v>
      </c>
      <c r="D107" s="58" t="s">
        <v>65</v>
      </c>
      <c r="E107" s="58"/>
      <c r="F107" s="58" t="s">
        <v>66</v>
      </c>
      <c r="G107" s="58"/>
      <c r="H107" s="58" t="s">
        <v>64</v>
      </c>
      <c r="I107" s="58" t="s">
        <v>27</v>
      </c>
      <c r="J107" s="58" t="s">
        <v>21</v>
      </c>
      <c r="K107" s="62"/>
    </row>
    <row r="108" spans="2:17" ht="15" thickBot="1">
      <c r="C108" s="61"/>
      <c r="D108" s="59"/>
      <c r="E108" s="59"/>
      <c r="F108" s="59"/>
      <c r="G108" s="59"/>
      <c r="H108" s="59"/>
      <c r="I108" s="59"/>
      <c r="J108" s="59"/>
      <c r="K108" s="63"/>
    </row>
    <row r="109" spans="2:17" ht="15.75">
      <c r="C109" s="22" t="s">
        <v>44</v>
      </c>
      <c r="D109" s="83">
        <f>D58</f>
        <v>170</v>
      </c>
      <c r="E109" s="83"/>
      <c r="F109" s="83" cm="1">
        <f t="array" ref="F109">MAX(F35:F42 + G35:G42)</f>
        <v>340</v>
      </c>
      <c r="G109" s="83"/>
      <c r="H109" s="30">
        <f>ABS(D109-F109)</f>
        <v>170</v>
      </c>
      <c r="I109" s="34">
        <f>F86/H109</f>
        <v>2061803.9215686272</v>
      </c>
      <c r="J109" s="100" t="str">
        <f>IF(OR(ISBLANK(F86), ISBLANK(H109)), "",
    IF(H109=0, "",
        "Wo,Z = " &amp; ROUND(F86, 2) &amp; " / " &amp; ROUND(H109, 2) &amp; " / 10^6 = " &amp; ROUND((F86/H109)/10^6, 2) &amp; " * 10^6"
    )
)</f>
        <v>Wo,Z = 350506666.67 / 170 / 10^6 = 2.06 * 10^6</v>
      </c>
      <c r="K109" s="101"/>
    </row>
    <row r="110" spans="2:17" ht="16.5" thickBot="1">
      <c r="C110" s="23" t="s">
        <v>43</v>
      </c>
      <c r="D110" s="97">
        <f>D58</f>
        <v>170</v>
      </c>
      <c r="E110" s="97"/>
      <c r="F110" s="97" cm="1">
        <f t="array" ref="F110">MAX(F35:F42 + G35:G42)</f>
        <v>340</v>
      </c>
      <c r="G110" s="97"/>
      <c r="H110" s="31">
        <f>ABS(D110-F110)</f>
        <v>170</v>
      </c>
      <c r="I110" s="35">
        <f>F86/D110</f>
        <v>2061803.9215686272</v>
      </c>
      <c r="J110" s="102" t="str">
        <f>IF(OR(ISBLANK(F86), ISBLANK(D110)), "",
    IF(D110=0, "",
        "Wu,Z = " &amp; ROUND(F86, 2) &amp; " / " &amp; ROUND(D110, 2) &amp; " / 10^6 = " &amp; ROUND((F86/D110)/10^6, 2) &amp; " * 10^6"
    )
)</f>
        <v>Wu,Z = 350506666.67 / 170 / 10^6 = 2.06 * 10^6</v>
      </c>
      <c r="K110" s="103"/>
    </row>
    <row r="111" spans="2:17" ht="15" thickBot="1"/>
    <row r="112" spans="2:17" ht="18.75" thickBot="1">
      <c r="B112" s="76" t="s">
        <v>34</v>
      </c>
      <c r="C112" s="77"/>
      <c r="D112" s="77"/>
      <c r="E112" s="77"/>
      <c r="F112" s="77"/>
      <c r="G112" s="77"/>
      <c r="H112" s="77"/>
      <c r="I112" s="77"/>
      <c r="J112" s="77"/>
      <c r="K112" s="78"/>
    </row>
    <row r="113" spans="2:11" ht="15.75" thickBot="1">
      <c r="C113" s="75" t="s">
        <v>37</v>
      </c>
      <c r="D113" s="56"/>
      <c r="E113" s="56"/>
      <c r="F113" s="56"/>
      <c r="G113" s="56"/>
      <c r="H113" s="56"/>
      <c r="I113" s="56"/>
      <c r="J113" s="56"/>
      <c r="K113" s="57"/>
    </row>
    <row r="114" spans="2:11" ht="16.5" thickBot="1">
      <c r="C114" s="19" t="s">
        <v>36</v>
      </c>
      <c r="D114" s="20">
        <v>80</v>
      </c>
      <c r="E114" s="5" t="s">
        <v>41</v>
      </c>
    </row>
    <row r="115" spans="2:11">
      <c r="C115" s="60" t="s">
        <v>28</v>
      </c>
      <c r="D115" s="58"/>
      <c r="E115" s="58"/>
      <c r="F115" s="58" t="s">
        <v>42</v>
      </c>
      <c r="G115" s="58"/>
      <c r="H115" s="58" t="s">
        <v>21</v>
      </c>
      <c r="I115" s="58"/>
      <c r="J115" s="58"/>
      <c r="K115" s="62"/>
    </row>
    <row r="116" spans="2:11" ht="15" thickBot="1">
      <c r="C116" s="61"/>
      <c r="D116" s="59"/>
      <c r="E116" s="59"/>
      <c r="F116" s="59"/>
      <c r="G116" s="59"/>
      <c r="H116" s="59"/>
      <c r="I116" s="59"/>
      <c r="J116" s="59"/>
      <c r="K116" s="63"/>
    </row>
    <row r="117" spans="2:11" ht="16.5" thickBot="1">
      <c r="C117" s="66" t="s">
        <v>71</v>
      </c>
      <c r="D117" s="67"/>
      <c r="E117" s="68"/>
      <c r="F117" s="64">
        <f>(D114*10^6*H104)/F98</f>
        <v>22.551639759365521</v>
      </c>
      <c r="G117" s="65"/>
      <c r="H117" s="49" t="str">
        <f>"σMu = (" &amp; D114 &amp; " * 10^6 * " &amp; H104 &amp; ") / " &amp; F98 &amp; " = " &amp; ROUND((D114 * 10^6 * H104) / F98, 2) &amp; " N/mm²"</f>
        <v>σMu = (80 * 10^6 * 196.5625) / 697288541.666667 = 22.55 N/mm²</v>
      </c>
      <c r="I117" s="50"/>
      <c r="J117" s="50"/>
      <c r="K117" s="51"/>
    </row>
    <row r="118" spans="2:11" ht="16.5" thickBot="1">
      <c r="B118" s="4"/>
      <c r="C118" s="69" t="s">
        <v>72</v>
      </c>
      <c r="D118" s="70"/>
      <c r="E118" s="71"/>
      <c r="F118" s="39">
        <f>(D114*10^6*D104)/F98</f>
        <v>21.045806897849857</v>
      </c>
      <c r="G118" s="40"/>
      <c r="H118" s="72" t="str">
        <f>"σMo = (" &amp; ROUND(D114, 2) &amp; " * 10^6 * " &amp; ROUND(D104, 2) &amp; ") / " &amp; ROUND(F98, 2) &amp; " = " &amp; ROUND((D114*10^6*D104)/F98, 2) &amp; " N/mm²"</f>
        <v>σMo = (80 * 10^6 * 183.44) / 697288541.67 = 21.05 N/mm²</v>
      </c>
      <c r="I118" s="73"/>
      <c r="J118" s="73" t="str">
        <f>IF(OR(ISBLANK(F111), ISBLANK(D118)), "",
    IF(D118=0, "",
        "Wu,Y = " &amp; ROUND(F111, 2) &amp; " / " &amp; ROUND(D118, 2) &amp; " / 10^6 = " &amp; ROUND((F111/D118)/10^6, 2) &amp; " * 10^6"
    )
)</f>
        <v/>
      </c>
      <c r="K118" s="74"/>
    </row>
    <row r="119" spans="2:11" ht="15.75" thickBot="1">
      <c r="B119" s="4"/>
      <c r="C119" s="55" t="s">
        <v>38</v>
      </c>
      <c r="D119" s="56"/>
      <c r="E119" s="56"/>
      <c r="F119" s="56"/>
      <c r="G119" s="56"/>
      <c r="H119" s="56"/>
      <c r="I119" s="56"/>
      <c r="J119" s="56"/>
      <c r="K119" s="57"/>
    </row>
    <row r="120" spans="2:11" ht="16.5" thickBot="1">
      <c r="B120" s="4"/>
      <c r="C120" s="19" t="s">
        <v>35</v>
      </c>
      <c r="D120" s="20">
        <v>23</v>
      </c>
      <c r="E120" s="5" t="s">
        <v>41</v>
      </c>
    </row>
    <row r="121" spans="2:11">
      <c r="B121" s="4"/>
      <c r="C121" s="60" t="s">
        <v>28</v>
      </c>
      <c r="D121" s="58"/>
      <c r="E121" s="58"/>
      <c r="F121" s="58" t="s">
        <v>42</v>
      </c>
      <c r="G121" s="58"/>
      <c r="H121" s="58" t="s">
        <v>21</v>
      </c>
      <c r="I121" s="58"/>
      <c r="J121" s="58"/>
      <c r="K121" s="62"/>
    </row>
    <row r="122" spans="2:11" ht="15" thickBot="1">
      <c r="B122" s="4"/>
      <c r="C122" s="61"/>
      <c r="D122" s="59"/>
      <c r="E122" s="59"/>
      <c r="F122" s="59"/>
      <c r="G122" s="59"/>
      <c r="H122" s="59"/>
      <c r="I122" s="59"/>
      <c r="J122" s="59"/>
      <c r="K122" s="63"/>
    </row>
    <row r="123" spans="2:11" ht="16.5" thickBot="1">
      <c r="B123" s="4"/>
      <c r="C123" s="43" t="s">
        <v>39</v>
      </c>
      <c r="D123" s="44"/>
      <c r="E123" s="45"/>
      <c r="F123" s="39">
        <f>(D120*10^6*H109)/F86</f>
        <v>11.155279975654292</v>
      </c>
      <c r="G123" s="40"/>
      <c r="H123" s="49" t="str">
        <f>"σMu = (" &amp; ROUND(D120, 2) &amp; " * 10^6 * " &amp; ROUND(H109, 2) &amp; ") / " &amp; ROUND(F86, 2) &amp; " = " &amp; ROUND((D120*10^6*H109)/F86, 2) &amp; " N/mm²"</f>
        <v>σMu = (23 * 10^6 * 170) / 350506666.67 = 11.16 N/mm²</v>
      </c>
      <c r="I123" s="50"/>
      <c r="J123" s="50" t="str">
        <f>IF(OR(ISBLANK(F99), ISBLANK(H123)), "",
    IF(H123=0, "",
        "Wo,Z = " &amp; ROUND(F99, 2) &amp; " / " &amp; ROUND(H123, 2) &amp; " / 10^6 = " &amp; ROUND((F99/H123)/10^6, 2) &amp; " * 10^6"
    )
)</f>
        <v/>
      </c>
      <c r="K123" s="51"/>
    </row>
    <row r="124" spans="2:11" ht="16.5" thickBot="1">
      <c r="B124" s="4"/>
      <c r="C124" s="46" t="s">
        <v>40</v>
      </c>
      <c r="D124" s="47"/>
      <c r="E124" s="48"/>
      <c r="F124" s="41">
        <f>(D120*10^6*D109)/F86</f>
        <v>11.155279975654292</v>
      </c>
      <c r="G124" s="42"/>
      <c r="H124" s="52" t="str">
        <f>"σMo = (" &amp; ROUND(D120, 2) &amp; " * 10^6 * " &amp; ROUND(D109, 2) &amp; ") / " &amp; ROUND(F86, 2) &amp; " = " &amp; ROUND((D120*10^6*D109)/F86, 2) &amp; " N/mm²"</f>
        <v>σMo = (23 * 10^6 * 170) / 350506666.67 = 11.16 N/mm²</v>
      </c>
      <c r="I124" s="53"/>
      <c r="J124" s="53" t="str">
        <f>IF(OR(ISBLANK(F99), ISBLANK(D124)), "",
    IF(D124=0, "",
        "Wu,Z = " &amp; ROUND(F99, 2) &amp; " / " &amp; ROUND(D124, 2) &amp; " / 10^6 = " &amp; ROUND((F99/D124)/10^6, 2) &amp; " * 10^6"
    )
)</f>
        <v/>
      </c>
      <c r="K124" s="54"/>
    </row>
    <row r="125" spans="2:11">
      <c r="B125" s="4"/>
    </row>
    <row r="126" spans="2:11">
      <c r="B126" s="4"/>
      <c r="C126" s="4"/>
      <c r="D126" s="4"/>
      <c r="E126" s="4"/>
      <c r="F126" s="4"/>
      <c r="G126" s="4"/>
      <c r="H126" s="4"/>
    </row>
    <row r="127" spans="2:11">
      <c r="B127" s="4"/>
      <c r="C127" s="4" t="s">
        <v>84</v>
      </c>
      <c r="D127" s="4">
        <v>275</v>
      </c>
      <c r="E127" s="4"/>
      <c r="F127" s="4"/>
      <c r="G127" s="4"/>
      <c r="H127" s="4"/>
    </row>
    <row r="128" spans="2:11">
      <c r="B128" s="4"/>
      <c r="C128" s="4" t="s">
        <v>48</v>
      </c>
      <c r="D128" s="4">
        <f>SQRT(F86/D57)</f>
        <v>104.65817375309648</v>
      </c>
      <c r="E128" s="4"/>
      <c r="F128" s="4"/>
      <c r="G128" s="4"/>
      <c r="H128" s="4"/>
    </row>
    <row r="129" spans="2:8">
      <c r="B129" s="4"/>
      <c r="C129" s="4" t="s">
        <v>49</v>
      </c>
      <c r="D129" s="4"/>
      <c r="E129" s="4"/>
      <c r="F129" s="4"/>
      <c r="G129" s="4"/>
      <c r="H129" s="4"/>
    </row>
    <row r="130" spans="2:8">
      <c r="B130" s="4"/>
      <c r="C130" s="4" t="s">
        <v>50</v>
      </c>
      <c r="D130" s="4">
        <v>10500</v>
      </c>
      <c r="E130" s="4" t="s">
        <v>51</v>
      </c>
      <c r="F130" s="4"/>
      <c r="G130" s="4"/>
      <c r="H130" s="4"/>
    </row>
    <row r="131" spans="2:8" ht="18">
      <c r="B131" s="4"/>
      <c r="C131" s="26" t="s">
        <v>52</v>
      </c>
      <c r="D131" s="4">
        <f>D130/D128</f>
        <v>100.32661208833048</v>
      </c>
      <c r="E131" s="4"/>
      <c r="F131" s="4"/>
      <c r="G131" s="4"/>
      <c r="H131" s="4"/>
    </row>
    <row r="132" spans="2:8" ht="18">
      <c r="B132" s="4"/>
      <c r="C132" s="37" t="s">
        <v>86</v>
      </c>
      <c r="D132" s="4"/>
      <c r="E132" s="4">
        <v>0.49</v>
      </c>
      <c r="F132" s="4"/>
      <c r="G132" s="4"/>
      <c r="H132" s="4"/>
    </row>
    <row r="133" spans="2:8" ht="15">
      <c r="B133" s="4"/>
      <c r="C133" s="38" t="s">
        <v>83</v>
      </c>
      <c r="D133" s="4"/>
      <c r="E133" s="4">
        <f>0.5*(1+E132*(1.15^2-0.2)+1.15^2)</f>
        <v>1.4362624999999998</v>
      </c>
      <c r="F133" s="4"/>
      <c r="G133" s="4"/>
      <c r="H133" s="4"/>
    </row>
    <row r="134" spans="2:8" ht="18">
      <c r="B134" s="4"/>
      <c r="C134" s="37" t="s">
        <v>87</v>
      </c>
      <c r="D134" s="4"/>
      <c r="E134" s="4">
        <f>1/(E133+SQRT(E133^2-1.15^2))</f>
        <v>0.43540762347483769</v>
      </c>
      <c r="F134" s="4"/>
      <c r="G134" s="4"/>
      <c r="H134" s="4"/>
    </row>
    <row r="135" spans="2:8" ht="18">
      <c r="B135" s="4"/>
      <c r="C135" s="37" t="s">
        <v>88</v>
      </c>
      <c r="D135" s="4"/>
      <c r="E135" s="4">
        <f>(E134*D127*D57)/(1.05*1000)</f>
        <v>3649.1305586462586</v>
      </c>
      <c r="F135" s="4" t="s">
        <v>85</v>
      </c>
      <c r="G135" s="4"/>
      <c r="H135" s="4"/>
    </row>
    <row r="136" spans="2:8">
      <c r="B136" s="4"/>
      <c r="C136" s="4"/>
      <c r="D136" s="4"/>
      <c r="E136" s="4"/>
      <c r="F136" s="4"/>
      <c r="G136" s="4"/>
      <c r="H136" s="4"/>
    </row>
    <row r="137" spans="2:8">
      <c r="B137" s="4"/>
      <c r="C137" s="4"/>
      <c r="D137" s="4"/>
      <c r="E137" s="4"/>
      <c r="F137" s="4"/>
      <c r="G137" s="4"/>
      <c r="H137" s="4"/>
    </row>
    <row r="138" spans="2:8">
      <c r="B138" s="4"/>
      <c r="C138" s="4"/>
      <c r="D138" s="4"/>
      <c r="E138" s="4"/>
      <c r="F138" s="4"/>
      <c r="G138" s="4"/>
      <c r="H138" s="4"/>
    </row>
    <row r="139" spans="2:8">
      <c r="B139" s="4"/>
      <c r="C139" s="4"/>
      <c r="D139" s="4"/>
      <c r="E139" s="4"/>
      <c r="F139" s="4"/>
      <c r="G139" s="4"/>
      <c r="H139" s="4"/>
    </row>
  </sheetData>
  <sheetProtection algorithmName="SHA-512" hashValue="b/1VHjXnZ2QTrFXJzhhdhmAKtIlP35R74om3v3s/7tqToFcv8vbbcSfs9NaJ0Ed+hDSqtYdYUJFxwwFJbhGhRg==" saltValue="9vGM9htnZsk1ey1bo28guA==" spinCount="100000" sheet="1" objects="1" scenarios="1" selectLockedCells="1"/>
  <mergeCells count="167">
    <mergeCell ref="H33:H34"/>
    <mergeCell ref="C88:C89"/>
    <mergeCell ref="D88:E89"/>
    <mergeCell ref="F88:G89"/>
    <mergeCell ref="H88:K89"/>
    <mergeCell ref="C87:K87"/>
    <mergeCell ref="F82:G82"/>
    <mergeCell ref="H82:K82"/>
    <mergeCell ref="F83:G83"/>
    <mergeCell ref="F84:G84"/>
    <mergeCell ref="F86:G86"/>
    <mergeCell ref="F85:G85"/>
    <mergeCell ref="H83:K83"/>
    <mergeCell ref="H84:K84"/>
    <mergeCell ref="H85:K85"/>
    <mergeCell ref="H86:K86"/>
    <mergeCell ref="G33:G34"/>
    <mergeCell ref="H78:K78"/>
    <mergeCell ref="H79:K79"/>
    <mergeCell ref="H80:K80"/>
    <mergeCell ref="H81:K81"/>
    <mergeCell ref="C75:K75"/>
    <mergeCell ref="B74:K74"/>
    <mergeCell ref="F33:F34"/>
    <mergeCell ref="E33:E34"/>
    <mergeCell ref="F76:G77"/>
    <mergeCell ref="F78:G78"/>
    <mergeCell ref="F79:G79"/>
    <mergeCell ref="F80:G80"/>
    <mergeCell ref="F81:G81"/>
    <mergeCell ref="H76:K77"/>
    <mergeCell ref="C33:C34"/>
    <mergeCell ref="D76:E77"/>
    <mergeCell ref="C76:C77"/>
    <mergeCell ref="D33:D34"/>
    <mergeCell ref="C46:C47"/>
    <mergeCell ref="D46:E47"/>
    <mergeCell ref="F46:K47"/>
    <mergeCell ref="D48:E48"/>
    <mergeCell ref="F48:K48"/>
    <mergeCell ref="D49:E49"/>
    <mergeCell ref="D50:E50"/>
    <mergeCell ref="F49:K49"/>
    <mergeCell ref="F50:K50"/>
    <mergeCell ref="F51:K51"/>
    <mergeCell ref="F52:K52"/>
    <mergeCell ref="F53:K53"/>
    <mergeCell ref="D56:E56"/>
    <mergeCell ref="C107:C108"/>
    <mergeCell ref="D107:E108"/>
    <mergeCell ref="F107:G108"/>
    <mergeCell ref="H107:H108"/>
    <mergeCell ref="I107:I108"/>
    <mergeCell ref="B100:K100"/>
    <mergeCell ref="C106:K106"/>
    <mergeCell ref="C101:K101"/>
    <mergeCell ref="H96:K96"/>
    <mergeCell ref="H97:K97"/>
    <mergeCell ref="D96:E96"/>
    <mergeCell ref="D97:E97"/>
    <mergeCell ref="F96:G96"/>
    <mergeCell ref="F97:G97"/>
    <mergeCell ref="H98:K98"/>
    <mergeCell ref="F98:G98"/>
    <mergeCell ref="C102:C103"/>
    <mergeCell ref="J109:K109"/>
    <mergeCell ref="J110:K110"/>
    <mergeCell ref="J104:K104"/>
    <mergeCell ref="J105:K105"/>
    <mergeCell ref="J107:K108"/>
    <mergeCell ref="J102:K103"/>
    <mergeCell ref="D109:E109"/>
    <mergeCell ref="D110:E110"/>
    <mergeCell ref="D104:E104"/>
    <mergeCell ref="D105:E105"/>
    <mergeCell ref="F109:G109"/>
    <mergeCell ref="F110:G110"/>
    <mergeCell ref="F104:G104"/>
    <mergeCell ref="F105:G105"/>
    <mergeCell ref="D102:E103"/>
    <mergeCell ref="F102:G103"/>
    <mergeCell ref="H102:H103"/>
    <mergeCell ref="I102:I103"/>
    <mergeCell ref="D90:E90"/>
    <mergeCell ref="D91:E91"/>
    <mergeCell ref="D92:E92"/>
    <mergeCell ref="D93:E93"/>
    <mergeCell ref="D94:E94"/>
    <mergeCell ref="D95:E95"/>
    <mergeCell ref="F95:G95"/>
    <mergeCell ref="H90:K90"/>
    <mergeCell ref="H91:K91"/>
    <mergeCell ref="H92:K92"/>
    <mergeCell ref="H93:K93"/>
    <mergeCell ref="H94:K94"/>
    <mergeCell ref="H95:K95"/>
    <mergeCell ref="F90:G90"/>
    <mergeCell ref="F91:G91"/>
    <mergeCell ref="F92:G92"/>
    <mergeCell ref="F93:G93"/>
    <mergeCell ref="F94:G94"/>
    <mergeCell ref="D53:E53"/>
    <mergeCell ref="D54:E54"/>
    <mergeCell ref="D55:E55"/>
    <mergeCell ref="D72:E72"/>
    <mergeCell ref="F72:K72"/>
    <mergeCell ref="C59:K59"/>
    <mergeCell ref="F54:K54"/>
    <mergeCell ref="F55:K55"/>
    <mergeCell ref="D84:E84"/>
    <mergeCell ref="D85:E85"/>
    <mergeCell ref="F60:K61"/>
    <mergeCell ref="D62:E62"/>
    <mergeCell ref="F62:K62"/>
    <mergeCell ref="F57:K57"/>
    <mergeCell ref="F58:K58"/>
    <mergeCell ref="D58:E58"/>
    <mergeCell ref="D57:E57"/>
    <mergeCell ref="D78:E78"/>
    <mergeCell ref="D79:E79"/>
    <mergeCell ref="D80:E80"/>
    <mergeCell ref="D81:E81"/>
    <mergeCell ref="D82:E82"/>
    <mergeCell ref="C45:K45"/>
    <mergeCell ref="B112:K112"/>
    <mergeCell ref="D69:E69"/>
    <mergeCell ref="F69:K69"/>
    <mergeCell ref="D70:E70"/>
    <mergeCell ref="D71:E71"/>
    <mergeCell ref="F71:K71"/>
    <mergeCell ref="D66:E66"/>
    <mergeCell ref="F66:K66"/>
    <mergeCell ref="D67:E67"/>
    <mergeCell ref="F67:K67"/>
    <mergeCell ref="D68:E68"/>
    <mergeCell ref="F68:K68"/>
    <mergeCell ref="D63:E63"/>
    <mergeCell ref="F63:K63"/>
    <mergeCell ref="D64:E64"/>
    <mergeCell ref="F64:K64"/>
    <mergeCell ref="D65:E65"/>
    <mergeCell ref="F65:K65"/>
    <mergeCell ref="C60:C61"/>
    <mergeCell ref="D60:E61"/>
    <mergeCell ref="D51:E51"/>
    <mergeCell ref="D52:E52"/>
    <mergeCell ref="D83:E83"/>
    <mergeCell ref="F117:G117"/>
    <mergeCell ref="F118:G118"/>
    <mergeCell ref="C117:E117"/>
    <mergeCell ref="C118:E118"/>
    <mergeCell ref="H117:K117"/>
    <mergeCell ref="H118:K118"/>
    <mergeCell ref="C113:K113"/>
    <mergeCell ref="F115:G116"/>
    <mergeCell ref="C115:E116"/>
    <mergeCell ref="H115:K116"/>
    <mergeCell ref="F123:G123"/>
    <mergeCell ref="F124:G124"/>
    <mergeCell ref="C123:E123"/>
    <mergeCell ref="C124:E124"/>
    <mergeCell ref="H123:K123"/>
    <mergeCell ref="H124:K124"/>
    <mergeCell ref="C119:K119"/>
    <mergeCell ref="F121:G122"/>
    <mergeCell ref="C121:E122"/>
    <mergeCell ref="H121:K122"/>
  </mergeCells>
  <phoneticPr fontId="4" type="noConversion"/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Berechnungen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Jeremy Meile</cp:lastModifiedBy>
  <dcterms:created xsi:type="dcterms:W3CDTF">2024-09-08T13:33:25Z</dcterms:created>
  <dcterms:modified xsi:type="dcterms:W3CDTF">2024-09-14T10:41:00Z</dcterms:modified>
</cp:coreProperties>
</file>