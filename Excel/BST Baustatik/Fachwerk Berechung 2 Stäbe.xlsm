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Jerry\Desktop\"/>
    </mc:Choice>
  </mc:AlternateContent>
  <xr:revisionPtr revIDLastSave="0" documentId="13_ncr:1_{61CD0CF1-33FA-4E9C-AE84-1008FA7D21AA}" xr6:coauthVersionLast="47" xr6:coauthVersionMax="47" xr10:uidLastSave="{00000000-0000-0000-0000-000000000000}"/>
  <bookViews>
    <workbookView xWindow="29328" yWindow="1356" windowWidth="30612" windowHeight="14844" xr2:uid="{CA63EAF3-4DB8-DF45-9B60-C349EEB845CC}"/>
  </bookViews>
  <sheets>
    <sheet name="Stabrechner" sheetId="1" r:id="rId1"/>
  </sheets>
  <definedNames>
    <definedName name="_xleta.COS" hidden="1" xlm="1">#NAME?</definedName>
    <definedName name="_xleta.DEGREES" hidden="1" xlm="1">#NAME?</definedName>
    <definedName name="_xleta.PI" hidden="1" xlm="1">#NAME?</definedName>
    <definedName name="_xleta.S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7" i="1" l="1"/>
  <c r="E47" i="1"/>
  <c r="E22" i="1"/>
  <c r="D22" i="1"/>
  <c r="J9" i="1"/>
  <c r="J7" i="1"/>
  <c r="J8" i="1"/>
  <c r="J10" i="1"/>
  <c r="J11" i="1"/>
  <c r="I7" i="1"/>
  <c r="I8" i="1"/>
  <c r="I9" i="1"/>
  <c r="I10" i="1"/>
  <c r="I11" i="1"/>
  <c r="I6" i="1"/>
  <c r="J6" i="1"/>
  <c r="I12" i="1" l="1"/>
  <c r="D25" i="1" s="1"/>
  <c r="J12" i="1"/>
  <c r="D26" i="1" s="1"/>
  <c r="D36" i="1"/>
  <c r="D31" i="1"/>
  <c r="C40" i="1" s="1"/>
  <c r="G41" i="1" l="1"/>
  <c r="G40" i="1"/>
  <c r="G44" i="1"/>
  <c r="G43" i="1"/>
  <c r="E44" i="1"/>
  <c r="C44" i="1"/>
  <c r="C43" i="1"/>
  <c r="E40" i="1"/>
  <c r="C41" i="1"/>
  <c r="E41" i="1"/>
  <c r="E43" i="1"/>
  <c r="G45" i="1" l="1"/>
  <c r="E45" i="1"/>
  <c r="G48" i="1" s="1"/>
  <c r="E48" i="1" l="1"/>
</calcChain>
</file>

<file path=xl/sharedStrings.xml><?xml version="1.0" encoding="utf-8"?>
<sst xmlns="http://schemas.openxmlformats.org/spreadsheetml/2006/main" count="65" uniqueCount="33">
  <si>
    <t>Determinante der Matrix:</t>
  </si>
  <si>
    <t>kN</t>
  </si>
  <si>
    <t>°</t>
  </si>
  <si>
    <t>m</t>
  </si>
  <si>
    <t>Berechnung der Richtungskoeffizienten für den 1. Stab:</t>
  </si>
  <si>
    <t>Berechnung der Richtungskoeffizienten für den 2. Stab:</t>
  </si>
  <si>
    <t>Berechnete Stabkräfte</t>
  </si>
  <si>
    <t>1. Stabkraft</t>
  </si>
  <si>
    <t>2. Stabkraft</t>
  </si>
  <si>
    <t>Y (↑ ↓)</t>
  </si>
  <si>
    <t>∑Fy (↑ ↓)</t>
  </si>
  <si>
    <t>Winkel</t>
  </si>
  <si>
    <t>Jeder Knoten hat bereits Kräfte (Stabkräfte, Lagerreaktionen oder Äussere Kräfte).
Berechne die Summe der X und Y Komponente aller bestehenden Kräften</t>
  </si>
  <si>
    <t>Stab</t>
  </si>
  <si>
    <t>Kraft</t>
  </si>
  <si>
    <t>Fx</t>
  </si>
  <si>
    <t>Fy</t>
  </si>
  <si>
    <t>Eh</t>
  </si>
  <si>
    <t>Summen:</t>
  </si>
  <si>
    <t>meile.jeremy@stud.bauschule.ch</t>
  </si>
  <si>
    <r>
      <t xml:space="preserve">Der zu berechnende Stab verbindet 2 Knoten.
Gib die Distanzen in X und Y Achse an.
</t>
    </r>
    <r>
      <rPr>
        <i/>
        <sz val="9"/>
        <color theme="1"/>
        <rFont val="Calibri"/>
        <family val="2"/>
      </rPr>
      <t>siehe Bild rechts.</t>
    </r>
  </si>
  <si>
    <t xml:space="preserve"> Baustatik - Fachwerke:   Berechnen 2 Unbekannter Stäbe am Knoten</t>
  </si>
  <si>
    <r>
      <t>Schritt 4</t>
    </r>
    <r>
      <rPr>
        <sz val="12"/>
        <color theme="1"/>
        <rFont val="Calibri"/>
        <family val="2"/>
      </rPr>
      <t xml:space="preserve">: </t>
    </r>
    <r>
      <rPr>
        <sz val="10"/>
        <color theme="1"/>
        <rFont val="Calibri"/>
        <family val="2"/>
      </rPr>
      <t xml:space="preserve">Gib die Distanz an zwischen Ausgangsknoten und Zielknoten des </t>
    </r>
    <r>
      <rPr>
        <b/>
        <sz val="10"/>
        <color theme="1"/>
        <rFont val="Calibri"/>
        <family val="2"/>
      </rPr>
      <t>1. Stabes</t>
    </r>
  </si>
  <si>
    <r>
      <t>Schritt 5</t>
    </r>
    <r>
      <rPr>
        <sz val="12"/>
        <color theme="1"/>
        <rFont val="Calibri"/>
        <family val="2"/>
      </rPr>
      <t xml:space="preserve">: </t>
    </r>
    <r>
      <rPr>
        <sz val="10"/>
        <color theme="1"/>
        <rFont val="Calibri"/>
        <family val="2"/>
      </rPr>
      <t>Gib die Distanz an zwischen Ausgangsknoten und Zielknoten des</t>
    </r>
    <r>
      <rPr>
        <b/>
        <sz val="10"/>
        <color theme="1"/>
        <rFont val="Calibri"/>
        <family val="2"/>
      </rPr>
      <t xml:space="preserve"> 2. Stabes</t>
    </r>
  </si>
  <si>
    <r>
      <t>Schritt 2 (Optional)</t>
    </r>
    <r>
      <rPr>
        <sz val="12"/>
        <color theme="1"/>
        <rFont val="Calibri"/>
        <family val="2"/>
      </rPr>
      <t>:</t>
    </r>
    <r>
      <rPr>
        <sz val="10"/>
        <color theme="1"/>
        <rFont val="Calibri"/>
        <family val="2"/>
      </rPr>
      <t xml:space="preserve"> Gib alle äusseren Kräfte und Lagerreaktionen in X und Y an</t>
    </r>
  </si>
  <si>
    <r>
      <t>Schritt 1 (Optional)</t>
    </r>
    <r>
      <rPr>
        <sz val="12"/>
        <color theme="1"/>
        <rFont val="Calibri"/>
        <family val="2"/>
      </rPr>
      <t>:</t>
    </r>
    <r>
      <rPr>
        <sz val="10"/>
        <color theme="1"/>
        <rFont val="Calibri"/>
        <family val="2"/>
      </rPr>
      <t xml:space="preserve"> Gib alle bekannten Stäbe, mit Kraft und Position des Zielknotens an</t>
    </r>
  </si>
  <si>
    <r>
      <t xml:space="preserve">X </t>
    </r>
    <r>
      <rPr>
        <b/>
        <sz val="10"/>
        <color theme="1"/>
        <rFont val="Calibri"/>
        <family val="2"/>
      </rPr>
      <t>(→ ←)</t>
    </r>
  </si>
  <si>
    <r>
      <t xml:space="preserve">Y </t>
    </r>
    <r>
      <rPr>
        <b/>
        <sz val="10"/>
        <color theme="1"/>
        <rFont val="Calibri"/>
        <family val="2"/>
      </rPr>
      <t>(↑ ↓)</t>
    </r>
  </si>
  <si>
    <r>
      <t xml:space="preserve">X-Kraft </t>
    </r>
    <r>
      <rPr>
        <b/>
        <sz val="10"/>
        <color theme="1"/>
        <rFont val="Calibri"/>
        <family val="2"/>
      </rPr>
      <t>(→ ←)</t>
    </r>
  </si>
  <si>
    <r>
      <t xml:space="preserve">Y-Kraft </t>
    </r>
    <r>
      <rPr>
        <b/>
        <sz val="10"/>
        <color theme="1"/>
        <rFont val="Calibri"/>
        <family val="2"/>
      </rPr>
      <t>(↑ ↓)</t>
    </r>
  </si>
  <si>
    <r>
      <t>Schritt 3</t>
    </r>
    <r>
      <rPr>
        <sz val="12"/>
        <color theme="1"/>
        <rFont val="Calibri"/>
        <family val="2"/>
      </rPr>
      <t>:</t>
    </r>
    <r>
      <rPr>
        <sz val="10"/>
        <color theme="1"/>
        <rFont val="Calibri"/>
        <family val="2"/>
      </rPr>
      <t xml:space="preserve"> Gib die Erforderliche Gleichgewichtskräfte am Knoten an</t>
    </r>
  </si>
  <si>
    <r>
      <t xml:space="preserve">∑Fx </t>
    </r>
    <r>
      <rPr>
        <b/>
        <sz val="11"/>
        <color rgb="FF000000"/>
        <rFont val="Calibri"/>
        <family val="2"/>
      </rPr>
      <t>(→ ←)</t>
    </r>
  </si>
  <si>
    <r>
      <t xml:space="preserve">X </t>
    </r>
    <r>
      <rPr>
        <b/>
        <sz val="11"/>
        <color theme="1"/>
        <rFont val="Calibri"/>
        <family val="2"/>
      </rPr>
      <t>(→ ←)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</si>
</sst>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#,##0.0000"/>
    <numFmt numFmtId="166" formatCode="0.0000"/>
  </numFmts>
  <fonts count="25" x14ac:knownFonts="1"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b/>
      <sz val="14"/>
      <color theme="0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0"/>
      <color theme="1"/>
      <name val="Calibri"/>
      <family val="2"/>
    </font>
    <font>
      <sz val="12"/>
      <color rgb="FF000000"/>
      <name val="Calibri"/>
      <family val="2"/>
    </font>
    <font>
      <sz val="9"/>
      <color theme="1"/>
      <name val="Calibri"/>
      <family val="2"/>
    </font>
    <font>
      <sz val="13"/>
      <color rgb="FF000000"/>
      <name val="Calibri"/>
      <family val="2"/>
    </font>
    <font>
      <b/>
      <sz val="10"/>
      <color theme="1"/>
      <name val="Calibri"/>
      <family val="2"/>
    </font>
    <font>
      <sz val="11"/>
      <color theme="1"/>
      <name val="Calibri"/>
      <family val="2"/>
    </font>
    <font>
      <i/>
      <sz val="9"/>
      <color theme="1"/>
      <name val="Calibri"/>
      <family val="2"/>
    </font>
    <font>
      <sz val="12"/>
      <color rgb="FF3F3F3F"/>
      <name val="Calibri"/>
      <family val="2"/>
    </font>
    <font>
      <b/>
      <sz val="12"/>
      <color rgb="FF000000"/>
      <name val="Calibri"/>
      <family val="2"/>
    </font>
    <font>
      <sz val="11"/>
      <color rgb="FF3F3F3F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3F3F3F"/>
      <name val="Calibri"/>
      <family val="2"/>
    </font>
    <font>
      <sz val="11"/>
      <color rgb="FF3F3F76"/>
      <name val="Calibri"/>
      <family val="2"/>
    </font>
    <font>
      <b/>
      <sz val="11"/>
      <color rgb="FF3F3F76"/>
      <name val="Calibri"/>
      <family val="2"/>
    </font>
    <font>
      <b/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AF3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3" tint="0.39997558519241921"/>
        <bgColor indexed="64"/>
      </patternFill>
    </fill>
  </fills>
  <borders count="5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rgb="FFB2B2B2"/>
      </left>
      <right/>
      <top/>
      <bottom/>
      <diagonal/>
    </border>
    <border>
      <left style="thin">
        <color rgb="FFB2B2B2"/>
      </left>
      <right/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/>
      <bottom style="medium">
        <color indexed="64"/>
      </bottom>
      <diagonal/>
    </border>
    <border>
      <left style="thin">
        <color rgb="FF3F3F3F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3F3F3F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/>
      <diagonal/>
    </border>
    <border>
      <left style="medium">
        <color indexed="64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5" borderId="15" applyNumberFormat="0" applyFont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5" fillId="0" borderId="0" applyNumberFormat="0" applyFill="0" applyBorder="0" applyAlignment="0" applyProtection="0"/>
  </cellStyleXfs>
  <cellXfs count="114">
    <xf numFmtId="0" fontId="0" fillId="0" borderId="0" xfId="0"/>
    <xf numFmtId="0" fontId="7" fillId="0" borderId="0" xfId="0" applyFont="1"/>
    <xf numFmtId="0" fontId="7" fillId="0" borderId="9" xfId="0" applyFont="1" applyBorder="1"/>
    <xf numFmtId="0" fontId="10" fillId="0" borderId="0" xfId="0" applyFont="1"/>
    <xf numFmtId="0" fontId="7" fillId="0" borderId="11" xfId="0" applyFont="1" applyBorder="1"/>
    <xf numFmtId="0" fontId="8" fillId="0" borderId="0" xfId="0" applyFont="1"/>
    <xf numFmtId="0" fontId="7" fillId="0" borderId="3" xfId="0" applyFont="1" applyBorder="1"/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/>
    <xf numFmtId="0" fontId="7" fillId="0" borderId="7" xfId="0" applyFont="1" applyBorder="1"/>
    <xf numFmtId="0" fontId="12" fillId="0" borderId="6" xfId="0" applyFont="1" applyBorder="1"/>
    <xf numFmtId="164" fontId="7" fillId="0" borderId="0" xfId="0" applyNumberFormat="1" applyFont="1"/>
    <xf numFmtId="0" fontId="7" fillId="0" borderId="8" xfId="0" applyFont="1" applyBorder="1"/>
    <xf numFmtId="0" fontId="8" fillId="0" borderId="9" xfId="0" applyFont="1" applyBorder="1"/>
    <xf numFmtId="165" fontId="16" fillId="3" borderId="29" xfId="2" applyNumberFormat="1" applyFont="1" applyBorder="1"/>
    <xf numFmtId="165" fontId="16" fillId="3" borderId="2" xfId="2" applyNumberFormat="1" applyFont="1"/>
    <xf numFmtId="0" fontId="17" fillId="0" borderId="0" xfId="0" applyFont="1"/>
    <xf numFmtId="0" fontId="12" fillId="0" borderId="0" xfId="0" applyFont="1"/>
    <xf numFmtId="0" fontId="14" fillId="0" borderId="3" xfId="0" applyFont="1" applyBorder="1"/>
    <xf numFmtId="0" fontId="19" fillId="0" borderId="4" xfId="0" applyFont="1" applyBorder="1"/>
    <xf numFmtId="0" fontId="14" fillId="0" borderId="6" xfId="0" applyFont="1" applyBorder="1"/>
    <xf numFmtId="0" fontId="19" fillId="0" borderId="0" xfId="0" applyFont="1"/>
    <xf numFmtId="2" fontId="18" fillId="3" borderId="10" xfId="2" applyNumberFormat="1" applyFont="1" applyBorder="1"/>
    <xf numFmtId="0" fontId="20" fillId="0" borderId="6" xfId="0" applyFont="1" applyBorder="1"/>
    <xf numFmtId="164" fontId="21" fillId="3" borderId="2" xfId="2" applyNumberFormat="1" applyFont="1"/>
    <xf numFmtId="0" fontId="14" fillId="0" borderId="0" xfId="0" applyFont="1"/>
    <xf numFmtId="164" fontId="14" fillId="0" borderId="0" xfId="0" applyNumberFormat="1" applyFont="1"/>
    <xf numFmtId="165" fontId="18" fillId="3" borderId="29" xfId="2" applyNumberFormat="1" applyFont="1" applyBorder="1"/>
    <xf numFmtId="0" fontId="14" fillId="0" borderId="7" xfId="0" applyFont="1" applyBorder="1"/>
    <xf numFmtId="165" fontId="18" fillId="3" borderId="2" xfId="2" applyNumberFormat="1" applyFont="1"/>
    <xf numFmtId="165" fontId="18" fillId="3" borderId="27" xfId="2" applyNumberFormat="1" applyFont="1" applyBorder="1"/>
    <xf numFmtId="0" fontId="19" fillId="0" borderId="3" xfId="0" applyFont="1" applyBorder="1"/>
    <xf numFmtId="0" fontId="14" fillId="0" borderId="4" xfId="0" applyFont="1" applyBorder="1"/>
    <xf numFmtId="165" fontId="21" fillId="3" borderId="25" xfId="2" applyNumberFormat="1" applyFont="1" applyBorder="1"/>
    <xf numFmtId="0" fontId="19" fillId="0" borderId="5" xfId="0" applyFont="1" applyBorder="1"/>
    <xf numFmtId="0" fontId="19" fillId="0" borderId="8" xfId="0" applyFont="1" applyBorder="1"/>
    <xf numFmtId="0" fontId="14" fillId="0" borderId="9" xfId="0" applyFont="1" applyBorder="1"/>
    <xf numFmtId="165" fontId="21" fillId="3" borderId="10" xfId="2" applyNumberFormat="1" applyFont="1" applyBorder="1"/>
    <xf numFmtId="0" fontId="19" fillId="0" borderId="11" xfId="0" applyFont="1" applyBorder="1"/>
    <xf numFmtId="0" fontId="14" fillId="11" borderId="33" xfId="0" applyFont="1" applyFill="1" applyBorder="1" applyAlignment="1">
      <alignment horizontal="right"/>
    </xf>
    <xf numFmtId="0" fontId="14" fillId="11" borderId="34" xfId="0" applyFont="1" applyFill="1" applyBorder="1"/>
    <xf numFmtId="0" fontId="19" fillId="11" borderId="34" xfId="0" applyFont="1" applyFill="1" applyBorder="1" applyAlignment="1">
      <alignment horizontal="right"/>
    </xf>
    <xf numFmtId="0" fontId="19" fillId="11" borderId="35" xfId="0" applyFont="1" applyFill="1" applyBorder="1" applyAlignment="1">
      <alignment horizontal="right"/>
    </xf>
    <xf numFmtId="0" fontId="14" fillId="0" borderId="6" xfId="0" applyFont="1" applyBorder="1" applyAlignment="1">
      <alignment horizontal="right" vertical="top"/>
    </xf>
    <xf numFmtId="166" fontId="14" fillId="0" borderId="0" xfId="0" applyNumberFormat="1" applyFont="1"/>
    <xf numFmtId="166" fontId="14" fillId="0" borderId="7" xfId="0" applyNumberFormat="1" applyFont="1" applyBorder="1"/>
    <xf numFmtId="0" fontId="22" fillId="12" borderId="37" xfId="1" applyNumberFormat="1" applyFont="1" applyFill="1" applyBorder="1" applyProtection="1">
      <protection locked="0"/>
    </xf>
    <xf numFmtId="0" fontId="22" fillId="12" borderId="42" xfId="1" applyNumberFormat="1" applyFont="1" applyFill="1" applyBorder="1" applyProtection="1">
      <protection locked="0"/>
    </xf>
    <xf numFmtId="0" fontId="14" fillId="0" borderId="12" xfId="0" applyFont="1" applyBorder="1"/>
    <xf numFmtId="166" fontId="21" fillId="3" borderId="31" xfId="2" applyNumberFormat="1" applyFont="1" applyBorder="1"/>
    <xf numFmtId="166" fontId="21" fillId="3" borderId="32" xfId="2" applyNumberFormat="1" applyFont="1" applyBorder="1"/>
    <xf numFmtId="0" fontId="14" fillId="0" borderId="11" xfId="0" applyFont="1" applyBorder="1"/>
    <xf numFmtId="0" fontId="23" fillId="12" borderId="37" xfId="1" applyNumberFormat="1" applyFont="1" applyFill="1" applyBorder="1" applyProtection="1">
      <protection locked="0"/>
    </xf>
    <xf numFmtId="0" fontId="14" fillId="0" borderId="8" xfId="0" applyFont="1" applyBorder="1" applyAlignment="1">
      <alignment horizontal="right" vertical="top"/>
    </xf>
    <xf numFmtId="0" fontId="22" fillId="12" borderId="41" xfId="1" applyNumberFormat="1" applyFont="1" applyFill="1" applyBorder="1" applyProtection="1">
      <protection locked="0"/>
    </xf>
    <xf numFmtId="0" fontId="23" fillId="12" borderId="41" xfId="1" applyNumberFormat="1" applyFont="1" applyFill="1" applyBorder="1" applyProtection="1">
      <protection locked="0"/>
    </xf>
    <xf numFmtId="166" fontId="14" fillId="0" borderId="9" xfId="0" applyNumberFormat="1" applyFont="1" applyBorder="1"/>
    <xf numFmtId="166" fontId="14" fillId="0" borderId="11" xfId="0" applyNumberFormat="1" applyFont="1" applyBorder="1"/>
    <xf numFmtId="166" fontId="21" fillId="3" borderId="38" xfId="2" applyNumberFormat="1" applyFont="1" applyBorder="1"/>
    <xf numFmtId="166" fontId="21" fillId="3" borderId="39" xfId="2" applyNumberFormat="1" applyFont="1" applyBorder="1"/>
    <xf numFmtId="0" fontId="19" fillId="11" borderId="35" xfId="0" applyFont="1" applyFill="1" applyBorder="1" applyAlignment="1">
      <alignment horizontal="center"/>
    </xf>
    <xf numFmtId="0" fontId="19" fillId="11" borderId="34" xfId="0" applyFont="1" applyFill="1" applyBorder="1" applyAlignment="1">
      <alignment horizontal="center"/>
    </xf>
    <xf numFmtId="0" fontId="14" fillId="11" borderId="34" xfId="0" applyFont="1" applyFill="1" applyBorder="1" applyAlignment="1">
      <alignment horizontal="center"/>
    </xf>
    <xf numFmtId="0" fontId="22" fillId="2" borderId="36" xfId="1" applyFont="1" applyBorder="1" applyProtection="1">
      <protection locked="0"/>
    </xf>
    <xf numFmtId="0" fontId="22" fillId="2" borderId="37" xfId="1" applyFont="1" applyBorder="1" applyProtection="1">
      <protection locked="0"/>
    </xf>
    <xf numFmtId="2" fontId="14" fillId="10" borderId="16" xfId="5" applyNumberFormat="1" applyFont="1" applyFill="1" applyBorder="1" applyProtection="1">
      <protection locked="0"/>
    </xf>
    <xf numFmtId="2" fontId="14" fillId="6" borderId="1" xfId="4" applyNumberFormat="1" applyFont="1" applyBorder="1" applyProtection="1">
      <protection locked="0"/>
    </xf>
    <xf numFmtId="2" fontId="14" fillId="8" borderId="1" xfId="6" applyNumberFormat="1" applyFont="1" applyBorder="1" applyProtection="1">
      <protection locked="0"/>
    </xf>
    <xf numFmtId="2" fontId="14" fillId="9" borderId="1" xfId="7" applyNumberFormat="1" applyFont="1" applyBorder="1" applyProtection="1">
      <protection locked="0"/>
    </xf>
    <xf numFmtId="0" fontId="18" fillId="13" borderId="45" xfId="3" applyFont="1" applyFill="1" applyBorder="1" applyAlignment="1" applyProtection="1">
      <alignment horizontal="right" vertical="center"/>
    </xf>
    <xf numFmtId="0" fontId="18" fillId="13" borderId="46" xfId="3" applyFont="1" applyFill="1" applyBorder="1" applyAlignment="1" applyProtection="1">
      <alignment horizontal="right" vertical="center"/>
    </xf>
    <xf numFmtId="0" fontId="18" fillId="13" borderId="47" xfId="3" applyFont="1" applyFill="1" applyBorder="1" applyAlignment="1" applyProtection="1">
      <alignment horizontal="right" vertical="center"/>
    </xf>
    <xf numFmtId="0" fontId="18" fillId="5" borderId="48" xfId="3" applyFont="1" applyBorder="1" applyAlignment="1" applyProtection="1">
      <alignment horizontal="right" vertical="center"/>
    </xf>
    <xf numFmtId="0" fontId="18" fillId="5" borderId="28" xfId="3" applyFont="1" applyBorder="1" applyAlignment="1" applyProtection="1">
      <alignment horizontal="right" vertical="center"/>
    </xf>
    <xf numFmtId="0" fontId="18" fillId="5" borderId="30" xfId="3" applyFont="1" applyBorder="1" applyAlignment="1" applyProtection="1">
      <alignment horizontal="right" vertical="center"/>
    </xf>
    <xf numFmtId="0" fontId="8" fillId="4" borderId="12" xfId="0" applyFont="1" applyFill="1" applyBorder="1" applyAlignment="1">
      <alignment horizontal="left"/>
    </xf>
    <xf numFmtId="0" fontId="8" fillId="4" borderId="13" xfId="0" applyFont="1" applyFill="1" applyBorder="1" applyAlignment="1">
      <alignment horizontal="left"/>
    </xf>
    <xf numFmtId="0" fontId="17" fillId="4" borderId="12" xfId="0" applyFont="1" applyFill="1" applyBorder="1" applyAlignment="1">
      <alignment horizontal="left"/>
    </xf>
    <xf numFmtId="0" fontId="17" fillId="4" borderId="13" xfId="0" applyFont="1" applyFill="1" applyBorder="1" applyAlignment="1">
      <alignment horizontal="left"/>
    </xf>
    <xf numFmtId="0" fontId="17" fillId="4" borderId="14" xfId="0" applyFont="1" applyFill="1" applyBorder="1" applyAlignment="1">
      <alignment horizontal="left"/>
    </xf>
    <xf numFmtId="0" fontId="18" fillId="13" borderId="43" xfId="3" applyFont="1" applyFill="1" applyBorder="1" applyAlignment="1" applyProtection="1">
      <alignment horizontal="right" vertical="center"/>
    </xf>
    <xf numFmtId="0" fontId="18" fillId="13" borderId="44" xfId="3" applyFont="1" applyFill="1" applyBorder="1" applyAlignment="1" applyProtection="1">
      <alignment horizontal="right" vertical="center"/>
    </xf>
    <xf numFmtId="0" fontId="18" fillId="13" borderId="49" xfId="3" applyFont="1" applyFill="1" applyBorder="1" applyAlignment="1" applyProtection="1">
      <alignment horizontal="right" vertical="center"/>
    </xf>
    <xf numFmtId="0" fontId="18" fillId="5" borderId="45" xfId="3" applyFont="1" applyBorder="1" applyAlignment="1" applyProtection="1">
      <alignment horizontal="right" vertical="center"/>
    </xf>
    <xf numFmtId="0" fontId="18" fillId="5" borderId="46" xfId="3" applyFont="1" applyBorder="1" applyAlignment="1" applyProtection="1">
      <alignment horizontal="right" vertical="center"/>
    </xf>
    <xf numFmtId="0" fontId="18" fillId="5" borderId="47" xfId="3" applyFont="1" applyBorder="1" applyAlignment="1" applyProtection="1">
      <alignment horizontal="right" vertical="center"/>
    </xf>
    <xf numFmtId="0" fontId="17" fillId="4" borderId="4" xfId="0" applyFont="1" applyFill="1" applyBorder="1" applyAlignment="1">
      <alignment horizontal="left"/>
    </xf>
    <xf numFmtId="0" fontId="17" fillId="4" borderId="26" xfId="0" applyFont="1" applyFill="1" applyBorder="1" applyAlignment="1">
      <alignment horizontal="left"/>
    </xf>
    <xf numFmtId="0" fontId="11" fillId="5" borderId="21" xfId="3" applyFont="1" applyBorder="1" applyAlignment="1">
      <alignment horizontal="left" vertical="top" wrapText="1"/>
    </xf>
    <xf numFmtId="0" fontId="11" fillId="5" borderId="22" xfId="3" applyFont="1" applyBorder="1" applyAlignment="1">
      <alignment horizontal="left" vertical="top" wrapText="1"/>
    </xf>
    <xf numFmtId="0" fontId="11" fillId="5" borderId="15" xfId="3" applyFont="1" applyAlignment="1">
      <alignment horizontal="left" vertical="top" wrapText="1"/>
    </xf>
    <xf numFmtId="0" fontId="11" fillId="5" borderId="20" xfId="3" applyFont="1" applyBorder="1" applyAlignment="1">
      <alignment horizontal="left" vertical="top" wrapText="1"/>
    </xf>
    <xf numFmtId="0" fontId="11" fillId="5" borderId="23" xfId="3" applyFont="1" applyBorder="1" applyAlignment="1">
      <alignment horizontal="left" vertical="top" wrapText="1"/>
    </xf>
    <xf numFmtId="0" fontId="11" fillId="5" borderId="24" xfId="3" applyFont="1" applyBorder="1" applyAlignment="1">
      <alignment horizontal="left" vertical="top" wrapText="1"/>
    </xf>
    <xf numFmtId="0" fontId="11" fillId="5" borderId="17" xfId="3" applyFont="1" applyBorder="1" applyAlignment="1">
      <alignment horizontal="left" vertical="top" wrapText="1"/>
    </xf>
    <xf numFmtId="0" fontId="11" fillId="5" borderId="4" xfId="3" applyFont="1" applyBorder="1" applyAlignment="1">
      <alignment horizontal="left" vertical="top" wrapText="1"/>
    </xf>
    <xf numFmtId="0" fontId="11" fillId="5" borderId="5" xfId="3" applyFont="1" applyBorder="1" applyAlignment="1">
      <alignment horizontal="left" vertical="top" wrapText="1"/>
    </xf>
    <xf numFmtId="0" fontId="11" fillId="5" borderId="18" xfId="3" applyFont="1" applyBorder="1" applyAlignment="1">
      <alignment horizontal="left" vertical="top" wrapText="1"/>
    </xf>
    <xf numFmtId="0" fontId="11" fillId="5" borderId="0" xfId="3" applyFont="1" applyBorder="1" applyAlignment="1">
      <alignment horizontal="left" vertical="top" wrapText="1"/>
    </xf>
    <xf numFmtId="0" fontId="11" fillId="5" borderId="7" xfId="3" applyFont="1" applyBorder="1" applyAlignment="1">
      <alignment horizontal="left" vertical="top" wrapText="1"/>
    </xf>
    <xf numFmtId="0" fontId="11" fillId="5" borderId="19" xfId="3" applyFont="1" applyBorder="1" applyAlignment="1">
      <alignment horizontal="left" vertical="top" wrapText="1"/>
    </xf>
    <xf numFmtId="0" fontId="11" fillId="5" borderId="9" xfId="3" applyFont="1" applyBorder="1" applyAlignment="1">
      <alignment horizontal="left" vertical="top" wrapText="1"/>
    </xf>
    <xf numFmtId="0" fontId="11" fillId="5" borderId="11" xfId="3" applyFont="1" applyBorder="1" applyAlignment="1">
      <alignment horizontal="left" vertical="top" wrapText="1"/>
    </xf>
    <xf numFmtId="0" fontId="18" fillId="5" borderId="43" xfId="3" applyFont="1" applyBorder="1" applyAlignment="1" applyProtection="1">
      <alignment horizontal="right" vertical="center"/>
    </xf>
    <xf numFmtId="0" fontId="18" fillId="5" borderId="44" xfId="3" applyFont="1" applyBorder="1" applyAlignment="1" applyProtection="1">
      <alignment horizontal="right" vertical="center"/>
    </xf>
    <xf numFmtId="0" fontId="18" fillId="5" borderId="49" xfId="3" applyFont="1" applyBorder="1" applyAlignment="1" applyProtection="1">
      <alignment horizontal="right" vertical="center"/>
    </xf>
    <xf numFmtId="0" fontId="5" fillId="14" borderId="13" xfId="8" applyFill="1" applyBorder="1" applyAlignment="1">
      <alignment horizontal="left"/>
    </xf>
    <xf numFmtId="0" fontId="6" fillId="14" borderId="13" xfId="0" applyFont="1" applyFill="1" applyBorder="1" applyAlignment="1">
      <alignment horizontal="left"/>
    </xf>
    <xf numFmtId="0" fontId="6" fillId="14" borderId="14" xfId="0" applyFont="1" applyFill="1" applyBorder="1" applyAlignment="1">
      <alignment horizontal="left"/>
    </xf>
    <xf numFmtId="0" fontId="6" fillId="14" borderId="12" xfId="0" applyFont="1" applyFill="1" applyBorder="1" applyAlignment="1">
      <alignment horizontal="left"/>
    </xf>
    <xf numFmtId="0" fontId="8" fillId="4" borderId="14" xfId="0" applyFont="1" applyFill="1" applyBorder="1" applyAlignment="1">
      <alignment horizontal="left"/>
    </xf>
    <xf numFmtId="0" fontId="19" fillId="0" borderId="8" xfId="0" applyFont="1" applyBorder="1" applyAlignment="1">
      <alignment horizontal="center"/>
    </xf>
    <xf numFmtId="0" fontId="19" fillId="0" borderId="40" xfId="0" applyFont="1" applyBorder="1" applyAlignment="1">
      <alignment horizontal="center"/>
    </xf>
  </cellXfs>
  <cellStyles count="9">
    <cellStyle name="20 % - Akzent2" xfId="4" builtinId="34"/>
    <cellStyle name="20 % - Akzent4" xfId="5" builtinId="42"/>
    <cellStyle name="20 % - Akzent5" xfId="6" builtinId="46"/>
    <cellStyle name="20 % - Akzent6" xfId="7" builtinId="50"/>
    <cellStyle name="Ausgabe" xfId="2" builtinId="21"/>
    <cellStyle name="Eingabe" xfId="1" builtinId="20"/>
    <cellStyle name="Link" xfId="8" builtinId="8"/>
    <cellStyle name="Notiz" xfId="3" builtinId="10"/>
    <cellStyle name="Standard" xfId="0" builtinId="0"/>
  </cellStyles>
  <dxfs count="0"/>
  <tableStyles count="0" defaultTableStyle="TableStyleMedium2" defaultPivotStyle="PivotStyleLight16"/>
  <colors>
    <mruColors>
      <color rgb="FFFAF3CC"/>
      <color rgb="FFBAFC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58105</xdr:colOff>
      <xdr:row>23</xdr:row>
      <xdr:rowOff>62867</xdr:rowOff>
    </xdr:from>
    <xdr:to>
      <xdr:col>13</xdr:col>
      <xdr:colOff>380793</xdr:colOff>
      <xdr:row>36</xdr:row>
      <xdr:rowOff>197056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F43A109E-B55D-672C-86C6-7A7F8DDA4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01630" y="4506280"/>
          <a:ext cx="4551996" cy="2765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meile.jeremy@stud.bauschule.ch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D8547-50EC-BC4E-93EA-93637E2B29D3}">
  <dimension ref="A1:Q51"/>
  <sheetViews>
    <sheetView showGridLines="0" showRowColHeaders="0" tabSelected="1" topLeftCell="A27" zoomScale="130" zoomScaleNormal="130" workbookViewId="0">
      <selection activeCell="D26" sqref="D26"/>
    </sheetView>
  </sheetViews>
  <sheetFormatPr baseColWidth="10" defaultRowHeight="15.6" x14ac:dyDescent="0.3"/>
  <cols>
    <col min="1" max="1" width="1.8984375" style="1" customWidth="1"/>
    <col min="2" max="2" width="1.5" style="1" customWidth="1"/>
    <col min="3" max="3" width="9.19921875" style="1" customWidth="1"/>
    <col min="4" max="4" width="13.09765625" style="1" customWidth="1"/>
    <col min="5" max="5" width="12.09765625" style="1" customWidth="1"/>
    <col min="6" max="6" width="6.59765625" style="1" customWidth="1"/>
    <col min="7" max="7" width="8.19921875" style="1" bestFit="1" customWidth="1"/>
    <col min="8" max="8" width="11.09765625" style="1" customWidth="1"/>
    <col min="9" max="9" width="11.19921875" style="1"/>
    <col min="10" max="10" width="10.796875" style="1" customWidth="1"/>
    <col min="11" max="11" width="11.19921875" style="1" customWidth="1"/>
    <col min="12" max="13" width="11.19921875" style="1"/>
    <col min="14" max="14" width="5.19921875" style="1" customWidth="1"/>
    <col min="15" max="16384" width="11.19921875" style="1"/>
  </cols>
  <sheetData>
    <row r="1" spans="1:17" ht="18.600000000000001" thickBot="1" x14ac:dyDescent="0.4">
      <c r="A1" s="110" t="s">
        <v>21</v>
      </c>
      <c r="B1" s="108"/>
      <c r="C1" s="108"/>
      <c r="D1" s="108"/>
      <c r="E1" s="108"/>
      <c r="F1" s="108"/>
      <c r="G1" s="108"/>
      <c r="H1" s="108"/>
      <c r="I1" s="108"/>
      <c r="J1" s="108"/>
      <c r="K1" s="107" t="s">
        <v>19</v>
      </c>
      <c r="L1" s="108"/>
      <c r="M1" s="108"/>
      <c r="N1" s="108"/>
      <c r="O1" s="108"/>
      <c r="P1" s="108"/>
      <c r="Q1" s="109"/>
    </row>
    <row r="3" spans="1:17" ht="16.2" thickBot="1" x14ac:dyDescent="0.35"/>
    <row r="4" spans="1:17" ht="16.2" thickBot="1" x14ac:dyDescent="0.35">
      <c r="B4" s="76" t="s">
        <v>25</v>
      </c>
      <c r="C4" s="77"/>
      <c r="D4" s="77"/>
      <c r="E4" s="77"/>
      <c r="F4" s="77"/>
      <c r="G4" s="77"/>
      <c r="H4" s="77"/>
      <c r="I4" s="77"/>
      <c r="J4" s="111"/>
    </row>
    <row r="5" spans="1:17" x14ac:dyDescent="0.3">
      <c r="C5" s="40" t="s">
        <v>13</v>
      </c>
      <c r="D5" s="63" t="s">
        <v>26</v>
      </c>
      <c r="E5" s="63" t="s">
        <v>27</v>
      </c>
      <c r="F5" s="63" t="s">
        <v>17</v>
      </c>
      <c r="G5" s="63" t="s">
        <v>14</v>
      </c>
      <c r="H5" s="63" t="s">
        <v>17</v>
      </c>
      <c r="I5" s="62" t="s">
        <v>15</v>
      </c>
      <c r="J5" s="61" t="s">
        <v>16</v>
      </c>
    </row>
    <row r="6" spans="1:17" x14ac:dyDescent="0.3">
      <c r="C6" s="44">
        <v>1</v>
      </c>
      <c r="D6" s="64"/>
      <c r="E6" s="64"/>
      <c r="F6" s="26" t="s">
        <v>3</v>
      </c>
      <c r="G6" s="64"/>
      <c r="H6" s="26" t="s">
        <v>1</v>
      </c>
      <c r="I6" s="45" t="str">
        <f>IF(G6="", "", G6 * COS(ATAN2(E6, D6)))</f>
        <v/>
      </c>
      <c r="J6" s="46" t="str">
        <f>IF(G6="","",G6*SIN((ATAN2(E6,D6))))</f>
        <v/>
      </c>
    </row>
    <row r="7" spans="1:17" x14ac:dyDescent="0.3">
      <c r="C7" s="44">
        <v>2</v>
      </c>
      <c r="D7" s="47"/>
      <c r="E7" s="47"/>
      <c r="F7" s="26" t="s">
        <v>3</v>
      </c>
      <c r="G7" s="53"/>
      <c r="H7" s="26" t="s">
        <v>1</v>
      </c>
      <c r="I7" s="45" t="str">
        <f t="shared" ref="I7:I11" si="0">IF(G7="", "", G7 * COS(ATAN2(E7, D7)))</f>
        <v/>
      </c>
      <c r="J7" s="46" t="str">
        <f t="shared" ref="J7:J11" si="1">IF(G7="","",G7*SIN((ATAN2(E7,D7))))</f>
        <v/>
      </c>
    </row>
    <row r="8" spans="1:17" x14ac:dyDescent="0.3">
      <c r="C8" s="44">
        <v>3</v>
      </c>
      <c r="D8" s="65"/>
      <c r="E8" s="65"/>
      <c r="F8" s="26" t="s">
        <v>3</v>
      </c>
      <c r="G8" s="65"/>
      <c r="H8" s="26" t="s">
        <v>1</v>
      </c>
      <c r="I8" s="45" t="str">
        <f>IF(G8="", "", G8 * COS(ATAN2(E8, D8)))</f>
        <v/>
      </c>
      <c r="J8" s="46" t="str">
        <f>IF(G8="","",G8*SIN((ATAN2(E8,D8))))</f>
        <v/>
      </c>
    </row>
    <row r="9" spans="1:17" x14ac:dyDescent="0.3">
      <c r="C9" s="44">
        <v>4</v>
      </c>
      <c r="D9" s="47"/>
      <c r="E9" s="47"/>
      <c r="F9" s="26" t="s">
        <v>3</v>
      </c>
      <c r="G9" s="53"/>
      <c r="H9" s="26" t="s">
        <v>1</v>
      </c>
      <c r="I9" s="45" t="str">
        <f t="shared" si="0"/>
        <v/>
      </c>
      <c r="J9" s="46" t="str">
        <f>IF(G9="","",G9*SIN((ATAN2(E9,D9))))</f>
        <v/>
      </c>
    </row>
    <row r="10" spans="1:17" x14ac:dyDescent="0.3">
      <c r="C10" s="44">
        <v>5</v>
      </c>
      <c r="D10" s="65"/>
      <c r="E10" s="65"/>
      <c r="F10" s="26" t="s">
        <v>3</v>
      </c>
      <c r="G10" s="65"/>
      <c r="H10" s="26" t="s">
        <v>1</v>
      </c>
      <c r="I10" s="45" t="str">
        <f t="shared" si="0"/>
        <v/>
      </c>
      <c r="J10" s="46" t="str">
        <f t="shared" si="1"/>
        <v/>
      </c>
    </row>
    <row r="11" spans="1:17" ht="16.2" thickBot="1" x14ac:dyDescent="0.35">
      <c r="C11" s="54">
        <v>6</v>
      </c>
      <c r="D11" s="55"/>
      <c r="E11" s="55"/>
      <c r="F11" s="37" t="s">
        <v>3</v>
      </c>
      <c r="G11" s="56"/>
      <c r="H11" s="37" t="s">
        <v>1</v>
      </c>
      <c r="I11" s="57" t="str">
        <f t="shared" si="0"/>
        <v/>
      </c>
      <c r="J11" s="58" t="str">
        <f t="shared" si="1"/>
        <v/>
      </c>
    </row>
    <row r="12" spans="1:17" ht="16.2" thickBot="1" x14ac:dyDescent="0.35">
      <c r="A12" s="3"/>
      <c r="C12" s="26"/>
      <c r="D12" s="26"/>
      <c r="E12" s="26"/>
      <c r="F12" s="26"/>
      <c r="G12" s="112" t="s">
        <v>18</v>
      </c>
      <c r="H12" s="113"/>
      <c r="I12" s="59">
        <f>SUM(I6:I11)</f>
        <v>0</v>
      </c>
      <c r="J12" s="60">
        <f>SUM(J6:J11)</f>
        <v>0</v>
      </c>
    </row>
    <row r="13" spans="1:17" ht="16.2" thickBot="1" x14ac:dyDescent="0.35">
      <c r="A13" s="3"/>
    </row>
    <row r="14" spans="1:17" ht="16.2" thickBot="1" x14ac:dyDescent="0.35">
      <c r="A14" s="3"/>
      <c r="B14" s="76" t="s">
        <v>24</v>
      </c>
      <c r="C14" s="77"/>
      <c r="D14" s="77"/>
      <c r="E14" s="77"/>
      <c r="F14" s="77"/>
      <c r="G14" s="77"/>
      <c r="H14" s="111"/>
    </row>
    <row r="15" spans="1:17" x14ac:dyDescent="0.3">
      <c r="A15" s="3"/>
      <c r="B15" s="3"/>
      <c r="C15" s="40" t="s">
        <v>14</v>
      </c>
      <c r="D15" s="63" t="s">
        <v>28</v>
      </c>
      <c r="E15" s="63" t="s">
        <v>29</v>
      </c>
      <c r="F15" s="41" t="s">
        <v>17</v>
      </c>
      <c r="G15" s="42"/>
      <c r="H15" s="43"/>
    </row>
    <row r="16" spans="1:17" x14ac:dyDescent="0.3">
      <c r="A16" s="3"/>
      <c r="B16" s="3"/>
      <c r="C16" s="44">
        <v>1</v>
      </c>
      <c r="D16" s="64">
        <v>80</v>
      </c>
      <c r="E16" s="64">
        <v>-50</v>
      </c>
      <c r="F16" s="26" t="s">
        <v>1</v>
      </c>
      <c r="G16" s="45"/>
      <c r="H16" s="46"/>
    </row>
    <row r="17" spans="1:14" x14ac:dyDescent="0.3">
      <c r="A17" s="3"/>
      <c r="B17" s="3"/>
      <c r="C17" s="44">
        <v>2</v>
      </c>
      <c r="D17" s="47"/>
      <c r="E17" s="47"/>
      <c r="F17" s="26" t="s">
        <v>1</v>
      </c>
      <c r="G17" s="45"/>
      <c r="H17" s="46"/>
    </row>
    <row r="18" spans="1:14" x14ac:dyDescent="0.3">
      <c r="A18" s="3"/>
      <c r="B18" s="3"/>
      <c r="C18" s="44">
        <v>3</v>
      </c>
      <c r="D18" s="65"/>
      <c r="E18" s="65"/>
      <c r="F18" s="26" t="s">
        <v>1</v>
      </c>
      <c r="G18" s="45"/>
      <c r="H18" s="46"/>
    </row>
    <row r="19" spans="1:14" x14ac:dyDescent="0.3">
      <c r="A19" s="3"/>
      <c r="B19" s="3"/>
      <c r="C19" s="44">
        <v>4</v>
      </c>
      <c r="D19" s="47"/>
      <c r="E19" s="47"/>
      <c r="F19" s="26" t="s">
        <v>1</v>
      </c>
      <c r="G19" s="45"/>
      <c r="H19" s="46"/>
    </row>
    <row r="20" spans="1:14" x14ac:dyDescent="0.3">
      <c r="A20" s="3"/>
      <c r="B20" s="3"/>
      <c r="C20" s="44">
        <v>5</v>
      </c>
      <c r="D20" s="65"/>
      <c r="E20" s="65"/>
      <c r="F20" s="26" t="s">
        <v>1</v>
      </c>
      <c r="G20" s="45"/>
      <c r="H20" s="46"/>
    </row>
    <row r="21" spans="1:14" ht="16.2" thickBot="1" x14ac:dyDescent="0.35">
      <c r="A21" s="3"/>
      <c r="B21" s="3"/>
      <c r="C21" s="44">
        <v>6</v>
      </c>
      <c r="D21" s="48"/>
      <c r="E21" s="48"/>
      <c r="F21" s="26" t="s">
        <v>1</v>
      </c>
      <c r="G21" s="45"/>
      <c r="H21" s="46"/>
    </row>
    <row r="22" spans="1:14" ht="16.2" thickBot="1" x14ac:dyDescent="0.35">
      <c r="A22" s="3"/>
      <c r="B22" s="3"/>
      <c r="C22" s="49"/>
      <c r="D22" s="50">
        <f>SUM(D16:D21)</f>
        <v>80</v>
      </c>
      <c r="E22" s="51">
        <f>SUM(E16:E21)</f>
        <v>-50</v>
      </c>
      <c r="F22" s="37"/>
      <c r="G22" s="37"/>
      <c r="H22" s="52"/>
    </row>
    <row r="23" spans="1:14" ht="16.2" thickBot="1" x14ac:dyDescent="0.35"/>
    <row r="24" spans="1:14" ht="16.2" thickBot="1" x14ac:dyDescent="0.35">
      <c r="B24" s="76" t="s">
        <v>30</v>
      </c>
      <c r="C24" s="77"/>
      <c r="D24" s="77"/>
      <c r="E24" s="77"/>
      <c r="F24" s="77"/>
      <c r="G24" s="77"/>
      <c r="H24" s="77"/>
      <c r="I24" s="6"/>
      <c r="J24" s="7"/>
      <c r="K24" s="7"/>
      <c r="L24" s="7"/>
      <c r="M24" s="7"/>
      <c r="N24" s="8"/>
    </row>
    <row r="25" spans="1:14" x14ac:dyDescent="0.3">
      <c r="C25" s="24" t="s">
        <v>31</v>
      </c>
      <c r="D25" s="25">
        <f>I12+D22</f>
        <v>80</v>
      </c>
      <c r="E25" s="22" t="s">
        <v>1</v>
      </c>
      <c r="F25" s="89" t="s">
        <v>12</v>
      </c>
      <c r="G25" s="89"/>
      <c r="H25" s="90"/>
      <c r="I25" s="9"/>
      <c r="N25" s="10"/>
    </row>
    <row r="26" spans="1:14" x14ac:dyDescent="0.3">
      <c r="C26" s="24" t="s">
        <v>10</v>
      </c>
      <c r="D26" s="25">
        <f>J12+E22</f>
        <v>-50</v>
      </c>
      <c r="E26" s="22" t="s">
        <v>1</v>
      </c>
      <c r="F26" s="91"/>
      <c r="G26" s="91"/>
      <c r="H26" s="92"/>
      <c r="I26" s="9"/>
      <c r="N26" s="10"/>
    </row>
    <row r="27" spans="1:14" ht="16.2" thickBot="1" x14ac:dyDescent="0.35">
      <c r="C27" s="24"/>
      <c r="D27" s="26"/>
      <c r="E27" s="27"/>
      <c r="F27" s="93"/>
      <c r="G27" s="93"/>
      <c r="H27" s="94"/>
      <c r="I27" s="9"/>
      <c r="N27" s="10"/>
    </row>
    <row r="28" spans="1:14" ht="16.2" thickBot="1" x14ac:dyDescent="0.35">
      <c r="B28" s="76" t="s">
        <v>22</v>
      </c>
      <c r="C28" s="77"/>
      <c r="D28" s="77"/>
      <c r="E28" s="77"/>
      <c r="F28" s="77"/>
      <c r="G28" s="77"/>
      <c r="H28" s="77"/>
      <c r="I28" s="9"/>
      <c r="N28" s="10"/>
    </row>
    <row r="29" spans="1:14" ht="15.6" customHeight="1" x14ac:dyDescent="0.3">
      <c r="C29" s="19" t="s">
        <v>32</v>
      </c>
      <c r="D29" s="66">
        <v>7</v>
      </c>
      <c r="E29" s="20" t="s">
        <v>3</v>
      </c>
      <c r="F29" s="95" t="s">
        <v>20</v>
      </c>
      <c r="G29" s="96"/>
      <c r="H29" s="97"/>
      <c r="I29" s="9"/>
      <c r="N29" s="10"/>
    </row>
    <row r="30" spans="1:14" x14ac:dyDescent="0.3">
      <c r="C30" s="21" t="s">
        <v>9</v>
      </c>
      <c r="D30" s="67">
        <v>-3</v>
      </c>
      <c r="E30" s="22" t="s">
        <v>3</v>
      </c>
      <c r="F30" s="98"/>
      <c r="G30" s="99"/>
      <c r="H30" s="100"/>
      <c r="I30" s="9"/>
      <c r="N30" s="10"/>
    </row>
    <row r="31" spans="1:14" ht="16.2" thickBot="1" x14ac:dyDescent="0.35">
      <c r="C31" s="21" t="s">
        <v>11</v>
      </c>
      <c r="D31" s="23">
        <f>MOD(DEGREES(ATAN2(D29, D30)), 360)</f>
        <v>336.80140948635182</v>
      </c>
      <c r="E31" s="22" t="s">
        <v>2</v>
      </c>
      <c r="F31" s="98"/>
      <c r="G31" s="99"/>
      <c r="H31" s="100"/>
      <c r="I31" s="9"/>
      <c r="N31" s="10"/>
    </row>
    <row r="32" spans="1:14" ht="16.2" thickBot="1" x14ac:dyDescent="0.35">
      <c r="C32" s="21"/>
      <c r="D32" s="22"/>
      <c r="E32" s="22"/>
      <c r="F32" s="98"/>
      <c r="G32" s="99"/>
      <c r="H32" s="100"/>
      <c r="I32" s="9"/>
      <c r="N32" s="10"/>
    </row>
    <row r="33" spans="2:14" ht="16.2" thickBot="1" x14ac:dyDescent="0.35">
      <c r="B33" s="76" t="s">
        <v>23</v>
      </c>
      <c r="C33" s="77"/>
      <c r="D33" s="77"/>
      <c r="E33" s="77"/>
      <c r="F33" s="77"/>
      <c r="G33" s="77"/>
      <c r="H33" s="77"/>
      <c r="I33" s="9"/>
      <c r="N33" s="10"/>
    </row>
    <row r="34" spans="2:14" x14ac:dyDescent="0.3">
      <c r="C34" s="19" t="s">
        <v>32</v>
      </c>
      <c r="D34" s="68">
        <v>-3</v>
      </c>
      <c r="E34" s="20" t="s">
        <v>3</v>
      </c>
      <c r="F34" s="95" t="s">
        <v>20</v>
      </c>
      <c r="G34" s="96"/>
      <c r="H34" s="97"/>
      <c r="I34" s="9"/>
      <c r="N34" s="10"/>
    </row>
    <row r="35" spans="2:14" x14ac:dyDescent="0.3">
      <c r="C35" s="21" t="s">
        <v>9</v>
      </c>
      <c r="D35" s="69">
        <v>-3</v>
      </c>
      <c r="E35" s="22" t="s">
        <v>3</v>
      </c>
      <c r="F35" s="98"/>
      <c r="G35" s="99"/>
      <c r="H35" s="100"/>
      <c r="I35" s="9"/>
      <c r="N35" s="10"/>
    </row>
    <row r="36" spans="2:14" ht="16.2" thickBot="1" x14ac:dyDescent="0.35">
      <c r="C36" s="21" t="s">
        <v>11</v>
      </c>
      <c r="D36" s="23">
        <f>MOD(DEGREES(ATAN2(D34, D35)), 360)</f>
        <v>225</v>
      </c>
      <c r="E36" s="22" t="s">
        <v>2</v>
      </c>
      <c r="F36" s="98"/>
      <c r="G36" s="99"/>
      <c r="H36" s="100"/>
      <c r="I36" s="9"/>
      <c r="N36" s="10"/>
    </row>
    <row r="37" spans="2:14" ht="16.2" thickBot="1" x14ac:dyDescent="0.35">
      <c r="C37" s="13"/>
      <c r="D37" s="14"/>
      <c r="E37" s="14"/>
      <c r="F37" s="101"/>
      <c r="G37" s="102"/>
      <c r="H37" s="103"/>
      <c r="I37" s="13"/>
      <c r="J37" s="2"/>
      <c r="K37" s="2"/>
      <c r="L37" s="2"/>
      <c r="M37" s="2"/>
      <c r="N37" s="4"/>
    </row>
    <row r="38" spans="2:14" ht="16.2" thickBot="1" x14ac:dyDescent="0.35">
      <c r="D38" s="5"/>
      <c r="E38" s="5"/>
    </row>
    <row r="39" spans="2:14" ht="16.2" thickBot="1" x14ac:dyDescent="0.35">
      <c r="B39" s="78" t="s">
        <v>4</v>
      </c>
      <c r="C39" s="79"/>
      <c r="D39" s="79"/>
      <c r="E39" s="79"/>
      <c r="F39" s="79"/>
      <c r="G39" s="79"/>
      <c r="H39" s="79"/>
      <c r="I39" s="79"/>
      <c r="J39" s="79"/>
      <c r="K39" s="79"/>
      <c r="L39" s="80"/>
    </row>
    <row r="40" spans="2:14" ht="17.399999999999999" x14ac:dyDescent="0.35">
      <c r="C40" s="11" t="str">
        <f>"cos(" &amp; ROUND(D31,2) &amp; ") → ←"</f>
        <v>cos(336.8) → ←</v>
      </c>
      <c r="E40" s="15">
        <f>COS(D31 * PI() / 180)</f>
        <v>0.91914503001805781</v>
      </c>
      <c r="F40" s="10"/>
      <c r="G40" s="84" t="str">
        <f>"Cos(" &amp; ROUND(D31,4) &amp; " * π / 180) = " &amp; ROUND(COS(D31 * PI() / 180),4)</f>
        <v>Cos(336.8014 * π / 180) = 0.9191</v>
      </c>
      <c r="H40" s="85"/>
      <c r="I40" s="85"/>
      <c r="J40" s="85"/>
      <c r="K40" s="85"/>
      <c r="L40" s="86"/>
    </row>
    <row r="41" spans="2:14" ht="18" thickBot="1" x14ac:dyDescent="0.4">
      <c r="C41" s="11" t="str">
        <f>"sin(" &amp; ROUND(D31,2) &amp; ") ↑ ↓"</f>
        <v>sin(336.8) ↑ ↓</v>
      </c>
      <c r="E41" s="16">
        <f>SIN(D31 * PI() / 180)</f>
        <v>-0.39391929857916785</v>
      </c>
      <c r="F41" s="10"/>
      <c r="G41" s="81" t="str">
        <f>"Sin(" &amp; ROUND(D31,4) &amp; " * π / 180) = " &amp; ROUND(SIN(D31 * PI() / 180),4)</f>
        <v>Sin(336.8014 * π / 180) = -0.3939</v>
      </c>
      <c r="H41" s="82"/>
      <c r="I41" s="82"/>
      <c r="J41" s="82"/>
      <c r="K41" s="82"/>
      <c r="L41" s="83"/>
    </row>
    <row r="42" spans="2:14" ht="16.2" thickBot="1" x14ac:dyDescent="0.35">
      <c r="B42" s="78" t="s">
        <v>5</v>
      </c>
      <c r="C42" s="79"/>
      <c r="D42" s="79"/>
      <c r="E42" s="79"/>
      <c r="F42" s="79"/>
      <c r="G42" s="79"/>
      <c r="H42" s="79"/>
      <c r="I42" s="79"/>
      <c r="J42" s="79"/>
      <c r="K42" s="79"/>
      <c r="L42" s="80"/>
    </row>
    <row r="43" spans="2:14" x14ac:dyDescent="0.3">
      <c r="C43" s="24" t="str">
        <f>"cos(" &amp; ROUND(D36,2) &amp; ") → ←"</f>
        <v>cos(225) → ←</v>
      </c>
      <c r="D43" s="26"/>
      <c r="E43" s="28">
        <f>COS(D36 * PI() / 180)</f>
        <v>-0.70710678118654768</v>
      </c>
      <c r="F43" s="29"/>
      <c r="G43" s="84" t="str">
        <f>"Cos(" &amp; ROUND(D36,4) &amp; " * π / 180) = " &amp; ROUND(COS(D36 * PI() / 180),4)</f>
        <v>Cos(225 * π / 180) = -0.7071</v>
      </c>
      <c r="H43" s="85"/>
      <c r="I43" s="85"/>
      <c r="J43" s="85"/>
      <c r="K43" s="85"/>
      <c r="L43" s="86"/>
    </row>
    <row r="44" spans="2:14" ht="16.2" thickBot="1" x14ac:dyDescent="0.35">
      <c r="C44" s="24" t="str">
        <f>"sin(" &amp; ROUND(D36,2) &amp; ") ↑ ↓"</f>
        <v>sin(225) ↑ ↓</v>
      </c>
      <c r="D44" s="26"/>
      <c r="E44" s="30">
        <f>SIN(D36 * PI() / 180)</f>
        <v>-0.70710678118654746</v>
      </c>
      <c r="F44" s="29"/>
      <c r="G44" s="81" t="str">
        <f>"Sin(" &amp; ROUND(D36,4) &amp; " * π / 180) = " &amp; ROUND(SIN(D36 * PI() / 180),4)</f>
        <v>Sin(225 * π / 180) = -0.7071</v>
      </c>
      <c r="H44" s="82"/>
      <c r="I44" s="82"/>
      <c r="J44" s="82"/>
      <c r="K44" s="82"/>
      <c r="L44" s="83"/>
    </row>
    <row r="45" spans="2:14" ht="16.2" thickBot="1" x14ac:dyDescent="0.35">
      <c r="B45" s="78" t="s">
        <v>0</v>
      </c>
      <c r="C45" s="87"/>
      <c r="D45" s="88"/>
      <c r="E45" s="31">
        <f>(E40 * E44) - (E43 * E41)</f>
        <v>-0.92847669088525941</v>
      </c>
      <c r="F45" s="10"/>
      <c r="G45" s="104" t="str">
        <f>"(" &amp; ROUND(E40,4) &amp; " * " &amp; ROUND(E44,4) &amp; ") - (" &amp; ROUND(E43,4) &amp; " * " &amp; ROUND(E41,4) &amp; ") = " &amp; ROUND((E40 * E44) - (E43 * E41),4)</f>
        <v>(0.9191 * -0.7071) - (-0.7071 * -0.3939) = -0.9285</v>
      </c>
      <c r="H45" s="105"/>
      <c r="I45" s="105"/>
      <c r="J45" s="105"/>
      <c r="K45" s="105"/>
      <c r="L45" s="106"/>
    </row>
    <row r="46" spans="2:14" ht="16.2" thickBot="1" x14ac:dyDescent="0.35">
      <c r="B46" s="78" t="s">
        <v>6</v>
      </c>
      <c r="C46" s="79"/>
      <c r="D46" s="79"/>
      <c r="E46" s="79"/>
      <c r="F46" s="79"/>
      <c r="G46" s="79"/>
      <c r="H46" s="79"/>
      <c r="I46" s="79"/>
      <c r="J46" s="79"/>
      <c r="K46" s="79"/>
      <c r="L46" s="80"/>
    </row>
    <row r="47" spans="2:14" x14ac:dyDescent="0.3">
      <c r="C47" s="32" t="s">
        <v>7</v>
      </c>
      <c r="D47" s="33"/>
      <c r="E47" s="34">
        <f>IF(ABS(ROUND(E48,3))=0, (-D26-(E43*E48))/E42, (-D25-(E43*E48))/E40)</f>
        <v>-99.005050376230798</v>
      </c>
      <c r="F47" s="35" t="s">
        <v>1</v>
      </c>
      <c r="G47" s="70" t="str">
        <f>IF(ABS(ROUND(E48,4))=0, "-(" &amp; ROUND(D26,4) &amp; " - (" &amp; ROUND(E43,4) &amp; " * " &amp; ROUND(E48,4) &amp; ")) / " &amp; ROUND(E42,4) &amp; " = " &amp; ROUND((-D26 - (E43 * E48)) / E42,4) &amp; " kN", "(-" &amp; ROUND(D25,4) &amp; " - (" &amp; ROUND(E43,4) &amp; " * " &amp; ROUND(E48,4) &amp; ")) / " &amp; ROUND(E40,4) &amp; " = " &amp; ROUND((-D25 - (E43 * E48)) / E40,4) &amp; " kN")</f>
        <v>(-80 - (-0.7071 * -15.5563)) / 0.9191 = -99.0051 kN</v>
      </c>
      <c r="H47" s="71"/>
      <c r="I47" s="71"/>
      <c r="J47" s="71"/>
      <c r="K47" s="71"/>
      <c r="L47" s="72"/>
    </row>
    <row r="48" spans="2:14" ht="16.2" thickBot="1" x14ac:dyDescent="0.35">
      <c r="C48" s="36" t="s">
        <v>8</v>
      </c>
      <c r="D48" s="37"/>
      <c r="E48" s="38">
        <f>((-D26 * E40) - (-D25 * E41)) / E45</f>
        <v>-15.556349186104024</v>
      </c>
      <c r="F48" s="39" t="s">
        <v>1</v>
      </c>
      <c r="G48" s="73" t="str">
        <f>"((" &amp; ROUND(-D26,4) &amp; " * " &amp; ROUND(E40,4) &amp; ") - (" &amp; ROUND(-D25,4) &amp; " * " &amp; ROUND(E41,4) &amp; ")) / " &amp; ROUND(E45,4) &amp; " = " &amp; ROUND(((-D26 * E40) - (-D25 * E41)) / E45,4) &amp; " kN"</f>
        <v>((50 * 0.9191) - (-80 * -0.3939)) / -0.9285 = -15.5563 kN</v>
      </c>
      <c r="H48" s="74"/>
      <c r="I48" s="74"/>
      <c r="J48" s="74"/>
      <c r="K48" s="74"/>
      <c r="L48" s="75"/>
    </row>
    <row r="49" spans="3:5" x14ac:dyDescent="0.3">
      <c r="C49" s="17"/>
    </row>
    <row r="50" spans="3:5" ht="17.399999999999999" x14ac:dyDescent="0.35">
      <c r="C50" s="18"/>
      <c r="D50" s="18"/>
    </row>
    <row r="51" spans="3:5" ht="17.399999999999999" x14ac:dyDescent="0.35">
      <c r="C51" s="18"/>
      <c r="E51" s="12"/>
    </row>
  </sheetData>
  <sheetProtection selectLockedCells="1"/>
  <mergeCells count="22">
    <mergeCell ref="B46:L46"/>
    <mergeCell ref="K1:Q1"/>
    <mergeCell ref="A1:J1"/>
    <mergeCell ref="B14:H14"/>
    <mergeCell ref="G12:H12"/>
    <mergeCell ref="B4:J4"/>
    <mergeCell ref="G47:L47"/>
    <mergeCell ref="G48:L48"/>
    <mergeCell ref="B24:H24"/>
    <mergeCell ref="B28:H28"/>
    <mergeCell ref="B33:H33"/>
    <mergeCell ref="B42:L42"/>
    <mergeCell ref="B39:L39"/>
    <mergeCell ref="G41:L41"/>
    <mergeCell ref="G40:L40"/>
    <mergeCell ref="B45:D45"/>
    <mergeCell ref="F25:H27"/>
    <mergeCell ref="F29:H32"/>
    <mergeCell ref="F34:H37"/>
    <mergeCell ref="G45:L45"/>
    <mergeCell ref="G44:L44"/>
    <mergeCell ref="G43:L43"/>
  </mergeCells>
  <hyperlinks>
    <hyperlink ref="K1" r:id="rId1" xr:uid="{744FDBB4-DEDC-4E63-A5E0-A29ABCDE3F9D}"/>
  </hyperlinks>
  <pageMargins left="0.7" right="0.7" top="0.78740157499999996" bottom="0.78740157499999996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Stabrechner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Meile Jeremy</dc:creator>
  <cp:lastModifiedBy>Jerry</cp:lastModifiedBy>
  <dcterms:created xsi:type="dcterms:W3CDTF">2025-02-06T20:53:40Z</dcterms:created>
  <dcterms:modified xsi:type="dcterms:W3CDTF">2025-03-12T09:24:59Z</dcterms:modified>
</cp:coreProperties>
</file>