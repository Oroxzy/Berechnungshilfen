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F0661817-5FE3-1944-B115-DDBA47FB4F29}" xr6:coauthVersionLast="47" xr6:coauthVersionMax="47" xr10:uidLastSave="{00000000-0000-0000-0000-000000000000}"/>
  <bookViews>
    <workbookView xWindow="0" yWindow="780" windowWidth="34200" windowHeight="20140" xr2:uid="{77E96E14-C447-BC44-9B5F-A0F1B84A9C4C}"/>
  </bookViews>
  <sheets>
    <sheet name="Tabelle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F15" i="1"/>
  <c r="F16" i="1"/>
  <c r="F19" i="1"/>
  <c r="D15" i="1"/>
  <c r="D19" i="1"/>
  <c r="D16" i="1"/>
  <c r="D17" i="1" s="1"/>
  <c r="D12" i="1"/>
  <c r="D13" i="1" s="1"/>
  <c r="F13" i="1" l="1"/>
  <c r="F17" i="1"/>
  <c r="F22" i="1"/>
  <c r="D14" i="1"/>
  <c r="F14" i="1" s="1"/>
  <c r="D22" i="1"/>
  <c r="D18" i="1" l="1"/>
  <c r="D20" i="1" s="1"/>
  <c r="F18" i="1"/>
  <c r="D21" i="1" l="1"/>
  <c r="F20" i="1"/>
  <c r="D23" i="1"/>
  <c r="F21" i="1"/>
  <c r="F23" i="1"/>
</calcChain>
</file>

<file path=xl/sharedStrings.xml><?xml version="1.0" encoding="utf-8"?>
<sst xmlns="http://schemas.openxmlformats.org/spreadsheetml/2006/main" count="44" uniqueCount="37">
  <si>
    <t>Beschreibung</t>
  </si>
  <si>
    <t>Einheit</t>
  </si>
  <si>
    <t>Wert</t>
  </si>
  <si>
    <t>kN/m²</t>
  </si>
  <si>
    <t>m</t>
  </si>
  <si>
    <t>cm</t>
  </si>
  <si>
    <t>mm</t>
  </si>
  <si>
    <t>N/mm²</t>
  </si>
  <si>
    <t>kN/m</t>
  </si>
  <si>
    <t>kNm/m</t>
  </si>
  <si>
    <t>cm²/m</t>
  </si>
  <si>
    <t>cm²</t>
  </si>
  <si>
    <t>Gewicht pro Stab</t>
  </si>
  <si>
    <t>kg/m</t>
  </si>
  <si>
    <t>Anzahl Stäbe pro Meter</t>
  </si>
  <si>
    <t>Stk.</t>
  </si>
  <si>
    <t>kg/m²</t>
  </si>
  <si>
    <t>Stahlgewicht pro m²</t>
  </si>
  <si>
    <t>Lösungsweg</t>
  </si>
  <si>
    <r>
      <t>qk​</t>
    </r>
    <r>
      <rPr>
        <sz val="12"/>
        <color rgb="FF000000"/>
        <rFont val="Calibri"/>
        <family val="2"/>
      </rPr>
      <t> (Last)</t>
    </r>
  </si>
  <si>
    <r>
      <t>γq​</t>
    </r>
    <r>
      <rPr>
        <sz val="12"/>
        <color rgb="FF000000"/>
        <rFont val="Calibri"/>
        <family val="2"/>
      </rPr>
      <t> (Last-Sicherheitsfaktor)</t>
    </r>
  </si>
  <si>
    <r>
      <t>-</t>
    </r>
    <r>
      <rPr>
        <sz val="12"/>
        <color rgb="FF000000"/>
        <rFont val="Calibri"/>
        <family val="2"/>
      </rPr>
      <t> (dimensionslos)</t>
    </r>
  </si>
  <si>
    <r>
      <t>l</t>
    </r>
    <r>
      <rPr>
        <sz val="12"/>
        <color rgb="FF000000"/>
        <rFont val="Calibri"/>
        <family val="2"/>
      </rPr>
      <t> (Stützweite)</t>
    </r>
  </si>
  <si>
    <r>
      <t>h</t>
    </r>
    <r>
      <rPr>
        <sz val="12"/>
        <color rgb="FF000000"/>
        <rFont val="Calibri"/>
        <family val="2"/>
      </rPr>
      <t> (Deckenhöhe)</t>
    </r>
  </si>
  <si>
    <r>
      <t>c</t>
    </r>
    <r>
      <rPr>
        <sz val="12"/>
        <color rgb="FF000000"/>
        <rFont val="Calibri"/>
        <family val="2"/>
      </rPr>
      <t> (Betondeckung)</t>
    </r>
  </si>
  <si>
    <r>
      <t>∅</t>
    </r>
    <r>
      <rPr>
        <sz val="12"/>
        <color rgb="FF000000"/>
        <rFont val="Calibri"/>
        <family val="2"/>
      </rPr>
      <t> (Eisendurchmesser)</t>
    </r>
  </si>
  <si>
    <r>
      <t>fyk​</t>
    </r>
    <r>
      <rPr>
        <sz val="12"/>
        <color rgb="FF000000"/>
        <rFont val="Calibri"/>
        <family val="2"/>
      </rPr>
      <t> (Streckgrenze Stahl)</t>
    </r>
  </si>
  <si>
    <r>
      <t>γs​</t>
    </r>
    <r>
      <rPr>
        <sz val="12"/>
        <color rgb="FF000000"/>
        <rFont val="Calibri"/>
        <family val="2"/>
      </rPr>
      <t> (Stahl-Sicherheitsfaktor)</t>
    </r>
  </si>
  <si>
    <r>
      <t>qd​</t>
    </r>
    <r>
      <rPr>
        <sz val="12"/>
        <color rgb="FF000000"/>
        <rFont val="Calibri"/>
        <family val="2"/>
      </rPr>
      <t> = Bemessungslast</t>
    </r>
  </si>
  <si>
    <r>
      <t>qd′​</t>
    </r>
    <r>
      <rPr>
        <sz val="12"/>
        <color rgb="FF000000"/>
        <rFont val="Calibri"/>
        <family val="2"/>
      </rPr>
      <t> = Linienlast</t>
    </r>
  </si>
  <si>
    <r>
      <t>My</t>
    </r>
    <r>
      <rPr>
        <sz val="12"/>
        <color rgb="FF000000"/>
        <rFont val="Calibri"/>
        <family val="2"/>
      </rPr>
      <t> = Moment</t>
    </r>
  </si>
  <si>
    <r>
      <t>fsd​</t>
    </r>
    <r>
      <rPr>
        <sz val="12"/>
        <color rgb="FF000000"/>
        <rFont val="Calibri"/>
        <family val="2"/>
      </rPr>
      <t> = Bemessungsstreckgrenze</t>
    </r>
  </si>
  <si>
    <r>
      <t>d</t>
    </r>
    <r>
      <rPr>
        <sz val="12"/>
        <color rgb="FF000000"/>
        <rFont val="Calibri"/>
        <family val="2"/>
      </rPr>
      <t> = wirksame Höhe</t>
    </r>
  </si>
  <si>
    <r>
      <t>z</t>
    </r>
    <r>
      <rPr>
        <sz val="12"/>
        <color rgb="FF000000"/>
        <rFont val="Calibri"/>
        <family val="2"/>
      </rPr>
      <t> = Hebelarm</t>
    </r>
  </si>
  <si>
    <r>
      <t>As​</t>
    </r>
    <r>
      <rPr>
        <sz val="12"/>
        <color rgb="FF000000"/>
        <rFont val="Calibri"/>
        <family val="2"/>
      </rPr>
      <t> = Bewehrungsfläche</t>
    </r>
  </si>
  <si>
    <r>
      <t>A∅​</t>
    </r>
    <r>
      <rPr>
        <sz val="12"/>
        <color rgb="FF000000"/>
        <rFont val="Calibri"/>
        <family val="2"/>
      </rPr>
      <t> = Querschnittsfläche eines Stabs</t>
    </r>
  </si>
  <si>
    <r>
      <t>Stababstand </t>
    </r>
    <r>
      <rPr>
        <sz val="12"/>
        <color rgb="FF000000"/>
        <rFont val="Calibri"/>
        <family val="2"/>
      </rPr>
      <t>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</si>
</sst>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#,##0.000"/>
    <numFmt numFmtId="169" formatCode="#,##0.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1"/>
      <color rgb="FF3F3F3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37">
    <xf numFmtId="0" fontId="0" fillId="0" borderId="0" xfId="0"/>
    <xf numFmtId="0" fontId="3" fillId="0" borderId="0" xfId="0" applyFont="1" applyAlignment="1">
      <alignment vertical="center"/>
    </xf>
    <xf numFmtId="0" fontId="4" fillId="7" borderId="11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5" fillId="0" borderId="8" xfId="0" applyFont="1" applyBorder="1" applyAlignment="1">
      <alignment horizontal="right"/>
    </xf>
    <xf numFmtId="0" fontId="3" fillId="0" borderId="3" xfId="0" applyFont="1" applyBorder="1"/>
    <xf numFmtId="0" fontId="5" fillId="5" borderId="8" xfId="0" applyFont="1" applyFill="1" applyBorder="1" applyAlignment="1">
      <alignment horizontal="right"/>
    </xf>
    <xf numFmtId="0" fontId="3" fillId="5" borderId="3" xfId="0" applyFont="1" applyFill="1" applyBorder="1"/>
    <xf numFmtId="0" fontId="7" fillId="3" borderId="4" xfId="2" applyFont="1" applyBorder="1" applyAlignment="1" applyProtection="1">
      <alignment horizontal="left" vertical="center"/>
    </xf>
    <xf numFmtId="0" fontId="7" fillId="3" borderId="6" xfId="2" applyFont="1" applyBorder="1" applyAlignment="1" applyProtection="1">
      <alignment horizontal="left" vertical="center"/>
    </xf>
    <xf numFmtId="0" fontId="7" fillId="6" borderId="5" xfId="2" applyFont="1" applyFill="1" applyBorder="1" applyAlignment="1" applyProtection="1">
      <alignment horizontal="left" vertical="center"/>
    </xf>
    <xf numFmtId="0" fontId="7" fillId="6" borderId="7" xfId="2" applyFont="1" applyFill="1" applyBorder="1" applyAlignment="1" applyProtection="1">
      <alignment horizontal="left" vertical="center"/>
    </xf>
    <xf numFmtId="0" fontId="5" fillId="0" borderId="12" xfId="0" applyFont="1" applyBorder="1" applyAlignment="1">
      <alignment horizontal="right"/>
    </xf>
    <xf numFmtId="0" fontId="3" fillId="0" borderId="13" xfId="0" applyFont="1" applyBorder="1"/>
    <xf numFmtId="0" fontId="7" fillId="3" borderId="14" xfId="2" applyFont="1" applyBorder="1" applyAlignment="1" applyProtection="1">
      <alignment horizontal="left" vertical="center"/>
    </xf>
    <xf numFmtId="0" fontId="7" fillId="3" borderId="15" xfId="2" applyFont="1" applyBorder="1" applyAlignment="1" applyProtection="1">
      <alignment horizontal="left" vertical="center"/>
    </xf>
    <xf numFmtId="0" fontId="7" fillId="3" borderId="16" xfId="2" applyFont="1" applyBorder="1" applyAlignment="1" applyProtection="1">
      <alignment horizontal="left" vertical="center"/>
    </xf>
    <xf numFmtId="0" fontId="7" fillId="6" borderId="17" xfId="2" applyFont="1" applyFill="1" applyBorder="1" applyAlignment="1" applyProtection="1">
      <alignment horizontal="left" vertical="center"/>
    </xf>
    <xf numFmtId="0" fontId="7" fillId="3" borderId="18" xfId="2" applyFont="1" applyBorder="1" applyAlignment="1" applyProtection="1">
      <alignment horizontal="left" vertical="center"/>
    </xf>
    <xf numFmtId="0" fontId="5" fillId="5" borderId="19" xfId="0" applyFont="1" applyFill="1" applyBorder="1" applyAlignment="1">
      <alignment horizontal="right"/>
    </xf>
    <xf numFmtId="0" fontId="3" fillId="5" borderId="20" xfId="0" applyFont="1" applyFill="1" applyBorder="1"/>
    <xf numFmtId="0" fontId="7" fillId="6" borderId="21" xfId="2" applyFont="1" applyFill="1" applyBorder="1" applyAlignment="1" applyProtection="1">
      <alignment horizontal="left" vertical="center"/>
    </xf>
    <xf numFmtId="0" fontId="7" fillId="6" borderId="22" xfId="2" applyFont="1" applyFill="1" applyBorder="1" applyAlignment="1" applyProtection="1">
      <alignment horizontal="left" vertical="center"/>
    </xf>
    <xf numFmtId="0" fontId="7" fillId="6" borderId="23" xfId="2" applyFont="1" applyFill="1" applyBorder="1" applyAlignment="1" applyProtection="1">
      <alignment horizontal="left" vertical="center"/>
    </xf>
    <xf numFmtId="169" fontId="3" fillId="0" borderId="24" xfId="0" applyNumberFormat="1" applyFont="1" applyBorder="1"/>
    <xf numFmtId="169" fontId="3" fillId="5" borderId="25" xfId="0" applyNumberFormat="1" applyFont="1" applyFill="1" applyBorder="1"/>
    <xf numFmtId="169" fontId="3" fillId="0" borderId="25" xfId="0" applyNumberFormat="1" applyFont="1" applyBorder="1"/>
    <xf numFmtId="168" fontId="3" fillId="5" borderId="25" xfId="0" applyNumberFormat="1" applyFont="1" applyFill="1" applyBorder="1"/>
    <xf numFmtId="168" fontId="3" fillId="0" borderId="25" xfId="0" applyNumberFormat="1" applyFont="1" applyBorder="1"/>
    <xf numFmtId="3" fontId="3" fillId="5" borderId="25" xfId="0" applyNumberFormat="1" applyFont="1" applyFill="1" applyBorder="1"/>
    <xf numFmtId="168" fontId="3" fillId="5" borderId="26" xfId="0" applyNumberFormat="1" applyFont="1" applyFill="1" applyBorder="1"/>
    <xf numFmtId="0" fontId="3" fillId="2" borderId="27" xfId="1" applyFont="1" applyBorder="1" applyAlignment="1" applyProtection="1">
      <alignment horizontal="right" vertical="center"/>
      <protection locked="0"/>
    </xf>
    <xf numFmtId="0" fontId="3" fillId="4" borderId="28" xfId="1" applyNumberFormat="1" applyFont="1" applyFill="1" applyBorder="1" applyAlignment="1" applyProtection="1">
      <alignment horizontal="right" vertical="center"/>
      <protection locked="0"/>
    </xf>
    <xf numFmtId="0" fontId="3" fillId="2" borderId="28" xfId="1" applyFont="1" applyBorder="1" applyAlignment="1" applyProtection="1">
      <alignment horizontal="right" vertical="center"/>
      <protection locked="0"/>
    </xf>
    <xf numFmtId="0" fontId="3" fillId="4" borderId="29" xfId="1" applyNumberFormat="1" applyFont="1" applyFill="1" applyBorder="1" applyAlignment="1" applyProtection="1">
      <alignment horizontal="right" vertical="center"/>
      <protection locked="0"/>
    </xf>
  </cellXfs>
  <cellStyles count="3">
    <cellStyle name="Eingabe" xfId="1" builtinId="20"/>
    <cellStyle name="Notiz" xfId="2" builtinId="1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70E18-165E-124C-8AA9-0D40FB38841C}">
  <dimension ref="B2:L23"/>
  <sheetViews>
    <sheetView showGridLines="0" tabSelected="1" zoomScale="125" workbookViewId="0">
      <selection activeCell="E29" sqref="E29"/>
    </sheetView>
  </sheetViews>
  <sheetFormatPr baseColWidth="10" defaultRowHeight="16" x14ac:dyDescent="0.2"/>
  <cols>
    <col min="1" max="1" width="10.83203125" style="1"/>
    <col min="2" max="2" width="3.1640625" style="1" customWidth="1"/>
    <col min="3" max="3" width="44.6640625" style="1" customWidth="1"/>
    <col min="4" max="4" width="12.6640625" style="1" customWidth="1"/>
    <col min="5" max="5" width="17" style="1" customWidth="1"/>
    <col min="6" max="16384" width="10.83203125" style="1"/>
  </cols>
  <sheetData>
    <row r="2" spans="2:12" ht="17" thickBot="1" x14ac:dyDescent="0.25"/>
    <row r="3" spans="2:12" ht="17" thickBot="1" x14ac:dyDescent="0.25">
      <c r="B3" s="2"/>
      <c r="C3" s="3" t="s">
        <v>0</v>
      </c>
      <c r="D3" s="3" t="s">
        <v>2</v>
      </c>
      <c r="E3" s="3" t="s">
        <v>1</v>
      </c>
      <c r="F3" s="4" t="s">
        <v>18</v>
      </c>
      <c r="G3" s="4"/>
      <c r="H3" s="4"/>
      <c r="I3" s="4"/>
      <c r="J3" s="4"/>
      <c r="K3" s="4"/>
      <c r="L3" s="5"/>
    </row>
    <row r="4" spans="2:12" x14ac:dyDescent="0.2">
      <c r="C4" s="6" t="s">
        <v>19</v>
      </c>
      <c r="D4" s="33">
        <v>20</v>
      </c>
      <c r="E4" s="7" t="s">
        <v>3</v>
      </c>
    </row>
    <row r="5" spans="2:12" x14ac:dyDescent="0.2">
      <c r="C5" s="8" t="s">
        <v>20</v>
      </c>
      <c r="D5" s="34">
        <v>1.5</v>
      </c>
      <c r="E5" s="9" t="s">
        <v>21</v>
      </c>
    </row>
    <row r="6" spans="2:12" x14ac:dyDescent="0.2">
      <c r="C6" s="6" t="s">
        <v>22</v>
      </c>
      <c r="D6" s="35">
        <v>8</v>
      </c>
      <c r="E6" s="7" t="s">
        <v>4</v>
      </c>
    </row>
    <row r="7" spans="2:12" x14ac:dyDescent="0.2">
      <c r="C7" s="8" t="s">
        <v>23</v>
      </c>
      <c r="D7" s="34">
        <v>25</v>
      </c>
      <c r="E7" s="9" t="s">
        <v>5</v>
      </c>
    </row>
    <row r="8" spans="2:12" x14ac:dyDescent="0.2">
      <c r="C8" s="6" t="s">
        <v>24</v>
      </c>
      <c r="D8" s="35">
        <v>3</v>
      </c>
      <c r="E8" s="7" t="s">
        <v>5</v>
      </c>
    </row>
    <row r="9" spans="2:12" x14ac:dyDescent="0.2">
      <c r="C9" s="8" t="s">
        <v>25</v>
      </c>
      <c r="D9" s="34">
        <v>20</v>
      </c>
      <c r="E9" s="9" t="s">
        <v>6</v>
      </c>
    </row>
    <row r="10" spans="2:12" x14ac:dyDescent="0.2">
      <c r="C10" s="6" t="s">
        <v>26</v>
      </c>
      <c r="D10" s="35">
        <v>500</v>
      </c>
      <c r="E10" s="7" t="s">
        <v>7</v>
      </c>
    </row>
    <row r="11" spans="2:12" ht="17" thickBot="1" x14ac:dyDescent="0.25">
      <c r="C11" s="8" t="s">
        <v>27</v>
      </c>
      <c r="D11" s="36">
        <v>1.1499999999999999</v>
      </c>
      <c r="E11" s="9" t="s">
        <v>21</v>
      </c>
    </row>
    <row r="12" spans="2:12" x14ac:dyDescent="0.2">
      <c r="C12" s="14" t="s">
        <v>28</v>
      </c>
      <c r="D12" s="26">
        <f>D4*D5</f>
        <v>30</v>
      </c>
      <c r="E12" s="15" t="s">
        <v>3</v>
      </c>
      <c r="F12" s="16" t="str">
        <f>TEXT(D4,"0.000")&amp;" kN/m² × "&amp;TEXT(D5,"0.000")&amp;" = "&amp;TEXT(D12,"0.000")&amp;" kN/m²"</f>
        <v>20.000 kN/m² × 1.500 = 30.000 kN/m²</v>
      </c>
      <c r="G12" s="17"/>
      <c r="H12" s="17"/>
      <c r="I12" s="17"/>
      <c r="J12" s="17"/>
      <c r="K12" s="17"/>
      <c r="L12" s="18"/>
    </row>
    <row r="13" spans="2:12" x14ac:dyDescent="0.2">
      <c r="C13" s="8" t="s">
        <v>29</v>
      </c>
      <c r="D13" s="27">
        <f>D12*1</f>
        <v>30</v>
      </c>
      <c r="E13" s="9" t="s">
        <v>8</v>
      </c>
      <c r="F13" s="12" t="str">
        <f>TEXT(D12,"0.000")&amp;" kN/m² × 1 = "&amp;TEXT(D13,"0.000")&amp;" kN/m"</f>
        <v>30.000 kN/m² × 1 = 30.000 kN/m</v>
      </c>
      <c r="G13" s="13"/>
      <c r="H13" s="13"/>
      <c r="I13" s="13"/>
      <c r="J13" s="13"/>
      <c r="K13" s="13"/>
      <c r="L13" s="19"/>
    </row>
    <row r="14" spans="2:12" x14ac:dyDescent="0.2">
      <c r="C14" s="6" t="s">
        <v>30</v>
      </c>
      <c r="D14" s="28">
        <f>D13*D6^2/8</f>
        <v>240</v>
      </c>
      <c r="E14" s="7" t="s">
        <v>9</v>
      </c>
      <c r="F14" s="10" t="str">
        <f>"("&amp;TEXT(D13,"0.000")&amp;" kN/m × ("&amp;TEXT(D6,"0.000")&amp;" m)²) ÷ 8 = "&amp;TEXT(D14,"0.000")&amp;" kNm/m"</f>
        <v>(30.000 kN/m × (8.000 m)²) ÷ 8 = 240.000 kNm/m</v>
      </c>
      <c r="G14" s="11"/>
      <c r="H14" s="11"/>
      <c r="I14" s="11"/>
      <c r="J14" s="11"/>
      <c r="K14" s="11"/>
      <c r="L14" s="20"/>
    </row>
    <row r="15" spans="2:12" x14ac:dyDescent="0.2">
      <c r="C15" s="8" t="s">
        <v>31</v>
      </c>
      <c r="D15" s="29">
        <f>D10/D11</f>
        <v>434.78260869565219</v>
      </c>
      <c r="E15" s="9" t="s">
        <v>7</v>
      </c>
      <c r="F15" s="12" t="str">
        <f>TEXT(D10,"0.000")&amp;" N/mm² ÷ "&amp;TEXT(D11,"0.000")&amp;" = "&amp;TEXT(D15,"0.000")&amp;" N/mm²"</f>
        <v>500.000 N/mm² ÷ 1.150 = 434.783 N/mm²</v>
      </c>
      <c r="G15" s="13"/>
      <c r="H15" s="13"/>
      <c r="I15" s="13"/>
      <c r="J15" s="13"/>
      <c r="K15" s="13"/>
      <c r="L15" s="19"/>
    </row>
    <row r="16" spans="2:12" x14ac:dyDescent="0.2">
      <c r="C16" s="6" t="s">
        <v>32</v>
      </c>
      <c r="D16" s="30">
        <f>D7-D8-(D9/20)</f>
        <v>21</v>
      </c>
      <c r="E16" s="7" t="s">
        <v>5</v>
      </c>
      <c r="F16" s="10" t="str">
        <f>TEXT(D7,"0.000")&amp;" cm - "&amp;TEXT(D8,"0.000")&amp;" cm - ("&amp;TEXT(D9,"0.000")&amp;" mm ÷ 20) = "&amp;TEXT(D16,"0.000")&amp;" cm"</f>
        <v>25.000 cm - 3.000 cm - (20.000 mm ÷ 20) = 21.000 cm</v>
      </c>
      <c r="G16" s="11"/>
      <c r="H16" s="11"/>
      <c r="I16" s="11"/>
      <c r="J16" s="11"/>
      <c r="K16" s="11"/>
      <c r="L16" s="20"/>
    </row>
    <row r="17" spans="3:12" x14ac:dyDescent="0.2">
      <c r="C17" s="8" t="s">
        <v>33</v>
      </c>
      <c r="D17" s="29">
        <f>0.9*D16</f>
        <v>18.900000000000002</v>
      </c>
      <c r="E17" s="9" t="s">
        <v>5</v>
      </c>
      <c r="F17" s="12" t="str">
        <f>"0.9 × "&amp;TEXT(D16,"0.000")&amp;" cm = "&amp;TEXT(D17,"0.000")&amp;" cm"</f>
        <v>0.9 × 21.000 cm = 18.900 cm</v>
      </c>
      <c r="G17" s="13"/>
      <c r="H17" s="13"/>
      <c r="I17" s="13"/>
      <c r="J17" s="13"/>
      <c r="K17" s="13"/>
      <c r="L17" s="19"/>
    </row>
    <row r="18" spans="3:12" x14ac:dyDescent="0.2">
      <c r="C18" s="6" t="s">
        <v>34</v>
      </c>
      <c r="D18" s="30">
        <f>D14*100/(D17*(D15/10))</f>
        <v>29.206349206349202</v>
      </c>
      <c r="E18" s="7" t="s">
        <v>10</v>
      </c>
      <c r="F18" s="10" t="str">
        <f>"("&amp;TEXT(D14,"0.000")&amp;" kNm × 100) ÷ ("&amp;TEXT(D17,"0.000")&amp;" cm × ("&amp;TEXT(D15,"0.000")&amp;" N/mm² ÷ 10)) = "&amp;TEXT(D18,"0.000")&amp;" cm²/m"</f>
        <v>(240.000 kNm × 100) ÷ (18.900 cm × (434.783 N/mm² ÷ 10)) = 29.206 cm²/m</v>
      </c>
      <c r="G18" s="11"/>
      <c r="H18" s="11"/>
      <c r="I18" s="11"/>
      <c r="J18" s="11"/>
      <c r="K18" s="11"/>
      <c r="L18" s="20"/>
    </row>
    <row r="19" spans="3:12" x14ac:dyDescent="0.2">
      <c r="C19" s="8" t="s">
        <v>35</v>
      </c>
      <c r="D19" s="29">
        <f>PI()*(D9/20)^2</f>
        <v>3.1415926535897931</v>
      </c>
      <c r="E19" s="9" t="s">
        <v>11</v>
      </c>
      <c r="F19" s="12" t="str">
        <f>"π × ("&amp;TEXT(D9,"0.000")&amp;" mm ÷ 20)² = "&amp;TEXT(D19,"0.000")&amp;" cm²"</f>
        <v>π × (20.000 mm ÷ 20)² = 3.142 cm²</v>
      </c>
      <c r="G19" s="13"/>
      <c r="H19" s="13"/>
      <c r="I19" s="13"/>
      <c r="J19" s="13"/>
      <c r="K19" s="13"/>
      <c r="L19" s="19"/>
    </row>
    <row r="20" spans="3:12" x14ac:dyDescent="0.2">
      <c r="C20" s="6" t="s">
        <v>36</v>
      </c>
      <c r="D20" s="30">
        <f>D19*100/D18</f>
        <v>10.756540063921577</v>
      </c>
      <c r="E20" s="7" t="s">
        <v>5</v>
      </c>
      <c r="F20" s="10" t="str">
        <f>"("&amp;TEXT(D19,"0.000")&amp;" cm² × 100) ÷ "&amp;TEXT(D18,"0.000")&amp;" cm²/m = "&amp;TEXT(D20,"0.000")&amp;" cm"</f>
        <v>(3.142 cm² × 100) ÷ 29.206 cm²/m = 10.757 cm</v>
      </c>
      <c r="G20" s="11"/>
      <c r="H20" s="11"/>
      <c r="I20" s="11"/>
      <c r="J20" s="11"/>
      <c r="K20" s="11"/>
      <c r="L20" s="20"/>
    </row>
    <row r="21" spans="3:12" x14ac:dyDescent="0.2">
      <c r="C21" s="8" t="s">
        <v>14</v>
      </c>
      <c r="D21" s="31">
        <f>ROUNDUP(100/D20,0)</f>
        <v>10</v>
      </c>
      <c r="E21" s="9" t="s">
        <v>15</v>
      </c>
      <c r="F21" s="12" t="str">
        <f>"100 cm ÷ "&amp;TEXT(D20,"0.000")&amp;" cm = "&amp;TEXT(100/D20,"0.000")&amp;" Stäbe/m"</f>
        <v>100 cm ÷ 10.757 cm = 9.297 Stäbe/m</v>
      </c>
      <c r="G21" s="13"/>
      <c r="H21" s="13"/>
      <c r="I21" s="13"/>
      <c r="J21" s="13"/>
      <c r="K21" s="13"/>
      <c r="L21" s="19"/>
    </row>
    <row r="22" spans="3:12" x14ac:dyDescent="0.2">
      <c r="C22" s="6" t="s">
        <v>12</v>
      </c>
      <c r="D22" s="30">
        <f>D19*0.785</f>
        <v>2.4661502330679879</v>
      </c>
      <c r="E22" s="7" t="s">
        <v>13</v>
      </c>
      <c r="F22" s="10" t="str">
        <f>TEXT(D19,"0.000")&amp;" cm² × 0.785 = "&amp;TEXT(D19*0.785,"0.000")&amp;" kg/m"</f>
        <v>3.142 cm² × 0.785 = 2.466 kg/m</v>
      </c>
      <c r="G22" s="11"/>
      <c r="H22" s="11"/>
      <c r="I22" s="11"/>
      <c r="J22" s="11"/>
      <c r="K22" s="11"/>
      <c r="L22" s="20"/>
    </row>
    <row r="23" spans="3:12" ht="17" thickBot="1" x14ac:dyDescent="0.25">
      <c r="C23" s="21" t="s">
        <v>17</v>
      </c>
      <c r="D23" s="32">
        <f>(D19*0.785)*(100/D20)</f>
        <v>22.926984126984124</v>
      </c>
      <c r="E23" s="22" t="s">
        <v>16</v>
      </c>
      <c r="F23" s="23" t="str">
        <f>"("&amp;TEXT(D19,"0.000")&amp;" cm² × 0.785) × ("&amp;TEXT(100/D20,"0.000")&amp;" Stäbe/m) = "&amp;TEXT((D19*0.785)*(100/D20),"0.000")&amp;" kg/m²"</f>
        <v>(3.142 cm² × 0.785) × (9.297 Stäbe/m) = 22.927 kg/m²</v>
      </c>
      <c r="G23" s="24"/>
      <c r="H23" s="24"/>
      <c r="I23" s="24"/>
      <c r="J23" s="24"/>
      <c r="K23" s="24"/>
      <c r="L23" s="25"/>
    </row>
  </sheetData>
  <mergeCells count="13">
    <mergeCell ref="F3:L3"/>
    <mergeCell ref="F18:L18"/>
    <mergeCell ref="F19:L19"/>
    <mergeCell ref="F20:L20"/>
    <mergeCell ref="F21:L21"/>
    <mergeCell ref="F22:L22"/>
    <mergeCell ref="F23:L23"/>
    <mergeCell ref="F12:L12"/>
    <mergeCell ref="F13:L13"/>
    <mergeCell ref="F14:L14"/>
    <mergeCell ref="F15:L15"/>
    <mergeCell ref="F16:L16"/>
    <mergeCell ref="F17:L17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2025-04-28T20:05:24Z</dcterms:created>
  <dcterms:modified xsi:type="dcterms:W3CDTF">2025-04-28T20:54:33Z</dcterms:modified>
</cp:coreProperties>
</file>