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17F253B4-E56F-EA49-82A7-BAFC3A62D086}" xr6:coauthVersionLast="47" xr6:coauthVersionMax="47" xr10:uidLastSave="{00000000-0000-0000-0000-000000000000}"/>
  <bookViews>
    <workbookView xWindow="0" yWindow="780" windowWidth="34200" windowHeight="20140" xr2:uid="{77E96E14-C447-BC44-9B5F-A0F1B84A9C4C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/>
  <c r="D15" i="1"/>
  <c r="D16" i="1" s="1"/>
  <c r="D21" i="1"/>
  <c r="F21" i="1" s="1"/>
  <c r="D25" i="1"/>
  <c r="F25" i="1" s="1"/>
  <c r="D22" i="1"/>
  <c r="D23" i="1" s="1"/>
  <c r="D18" i="1"/>
  <c r="D19" i="1" s="1"/>
  <c r="D12" i="1" l="1"/>
  <c r="F22" i="1"/>
  <c r="F18" i="1"/>
  <c r="F19" i="1"/>
  <c r="F23" i="1"/>
  <c r="F28" i="1"/>
  <c r="D20" i="1"/>
  <c r="F20" i="1" s="1"/>
  <c r="D28" i="1"/>
  <c r="D24" i="1" l="1"/>
  <c r="D26" i="1" s="1"/>
  <c r="F24" i="1" l="1"/>
  <c r="D27" i="1"/>
  <c r="F26" i="1"/>
  <c r="D29" i="1"/>
  <c r="F27" i="1"/>
  <c r="F29" i="1"/>
</calcChain>
</file>

<file path=xl/sharedStrings.xml><?xml version="1.0" encoding="utf-8"?>
<sst xmlns="http://schemas.openxmlformats.org/spreadsheetml/2006/main" count="50" uniqueCount="43">
  <si>
    <t>Beschreibung</t>
  </si>
  <si>
    <t>Einheit</t>
  </si>
  <si>
    <t>Wert</t>
  </si>
  <si>
    <t>kN/m²</t>
  </si>
  <si>
    <t>m</t>
  </si>
  <si>
    <t>cm</t>
  </si>
  <si>
    <t>mm</t>
  </si>
  <si>
    <t>N/mm²</t>
  </si>
  <si>
    <t>kN/m</t>
  </si>
  <si>
    <t>kNm/m</t>
  </si>
  <si>
    <t>cm²/m</t>
  </si>
  <si>
    <t>cm²</t>
  </si>
  <si>
    <t>Gewicht pro Stab</t>
  </si>
  <si>
    <t>kg/m</t>
  </si>
  <si>
    <t>Anzahl Stäbe pro Meter</t>
  </si>
  <si>
    <t>Stk.</t>
  </si>
  <si>
    <t>kg/m²</t>
  </si>
  <si>
    <t>Stahlgewicht pro m²</t>
  </si>
  <si>
    <t>Lösungsweg</t>
  </si>
  <si>
    <r>
      <t>qk​</t>
    </r>
    <r>
      <rPr>
        <sz val="12"/>
        <color rgb="FF000000"/>
        <rFont val="Calibri"/>
        <family val="2"/>
      </rPr>
      <t> (Last)</t>
    </r>
  </si>
  <si>
    <r>
      <t>γq​</t>
    </r>
    <r>
      <rPr>
        <sz val="12"/>
        <color rgb="FF000000"/>
        <rFont val="Calibri"/>
        <family val="2"/>
      </rPr>
      <t> (Last-Sicherheitsfaktor)</t>
    </r>
  </si>
  <si>
    <r>
      <t>-</t>
    </r>
    <r>
      <rPr>
        <sz val="12"/>
        <color rgb="FF000000"/>
        <rFont val="Calibri"/>
        <family val="2"/>
      </rPr>
      <t> (dimensionslos)</t>
    </r>
  </si>
  <si>
    <r>
      <t>l</t>
    </r>
    <r>
      <rPr>
        <sz val="12"/>
        <color rgb="FF000000"/>
        <rFont val="Calibri"/>
        <family val="2"/>
      </rPr>
      <t> (Stützweite)</t>
    </r>
  </si>
  <si>
    <r>
      <t>h</t>
    </r>
    <r>
      <rPr>
        <sz val="12"/>
        <color rgb="FF000000"/>
        <rFont val="Calibri"/>
        <family val="2"/>
      </rPr>
      <t> (Deckenhöhe)</t>
    </r>
  </si>
  <si>
    <r>
      <t>c</t>
    </r>
    <r>
      <rPr>
        <sz val="12"/>
        <color rgb="FF000000"/>
        <rFont val="Calibri"/>
        <family val="2"/>
      </rPr>
      <t> (Betondeckung)</t>
    </r>
  </si>
  <si>
    <r>
      <t>fyk​</t>
    </r>
    <r>
      <rPr>
        <sz val="12"/>
        <color rgb="FF000000"/>
        <rFont val="Calibri"/>
        <family val="2"/>
      </rPr>
      <t> (Streckgrenze Stahl)</t>
    </r>
  </si>
  <si>
    <r>
      <t>γs​</t>
    </r>
    <r>
      <rPr>
        <sz val="12"/>
        <color rgb="FF000000"/>
        <rFont val="Calibri"/>
        <family val="2"/>
      </rPr>
      <t> (Stahl-Sicherheitsfaktor)</t>
    </r>
  </si>
  <si>
    <r>
      <t>qd​</t>
    </r>
    <r>
      <rPr>
        <sz val="12"/>
        <color rgb="FF000000"/>
        <rFont val="Calibri"/>
        <family val="2"/>
      </rPr>
      <t> = Bemessungslast</t>
    </r>
  </si>
  <si>
    <r>
      <t>qd′​</t>
    </r>
    <r>
      <rPr>
        <sz val="12"/>
        <color rgb="FF000000"/>
        <rFont val="Calibri"/>
        <family val="2"/>
      </rPr>
      <t> = Linienlast</t>
    </r>
  </si>
  <si>
    <r>
      <t>My</t>
    </r>
    <r>
      <rPr>
        <sz val="12"/>
        <color rgb="FF000000"/>
        <rFont val="Calibri"/>
        <family val="2"/>
      </rPr>
      <t> = Moment</t>
    </r>
  </si>
  <si>
    <r>
      <t>fsd​</t>
    </r>
    <r>
      <rPr>
        <sz val="12"/>
        <color rgb="FF000000"/>
        <rFont val="Calibri"/>
        <family val="2"/>
      </rPr>
      <t> = Bemessungsstreckgrenze</t>
    </r>
  </si>
  <si>
    <r>
      <t>As​</t>
    </r>
    <r>
      <rPr>
        <sz val="12"/>
        <color rgb="FF000000"/>
        <rFont val="Calibri"/>
        <family val="2"/>
      </rPr>
      <t> = Bewehrungsfläche</t>
    </r>
  </si>
  <si>
    <r>
      <t>A∅​</t>
    </r>
    <r>
      <rPr>
        <sz val="12"/>
        <color rgb="FF000000"/>
        <rFont val="Calibri"/>
        <family val="2"/>
      </rPr>
      <t> = Querschnittsfläche eines Stabs</t>
    </r>
  </si>
  <si>
    <r>
      <t>Stababstand </t>
    </r>
    <r>
      <rPr>
        <sz val="12"/>
        <color rgb="FF000000"/>
        <rFont val="Calibri"/>
        <family val="2"/>
      </rPr>
      <t>a</t>
    </r>
  </si>
  <si>
    <r>
      <t>d</t>
    </r>
    <r>
      <rPr>
        <sz val="12"/>
        <color rgb="FF000000"/>
        <rFont val="Calibri"/>
        <family val="2"/>
      </rPr>
      <t> = Hebelarm</t>
    </r>
  </si>
  <si>
    <r>
      <t>z</t>
    </r>
    <r>
      <rPr>
        <sz val="12"/>
        <color rgb="FF000000"/>
        <rFont val="Calibri"/>
        <family val="2"/>
      </rPr>
      <t> = wirksame Höhe</t>
    </r>
  </si>
  <si>
    <r>
      <t>ds ∅</t>
    </r>
    <r>
      <rPr>
        <sz val="12"/>
        <color rgb="FF000000"/>
        <rFont val="Calibri"/>
        <family val="2"/>
      </rPr>
      <t> (Eisendurchmesser)</t>
    </r>
  </si>
  <si>
    <t xml:space="preserve">normalkraft </t>
  </si>
  <si>
    <t>sicherheitsfaktor</t>
  </si>
  <si>
    <t>cm2</t>
  </si>
  <si>
    <t>cm abstand eisen</t>
  </si>
  <si>
    <t>eisen abstand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</si>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</sst>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1"/>
      <color rgb="FF3F3F3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37">
    <xf numFmtId="0" fontId="0" fillId="0" borderId="0" xfId="0"/>
    <xf numFmtId="0" fontId="3" fillId="0" borderId="0" xfId="0" applyFont="1" applyAlignment="1">
      <alignment vertical="center"/>
    </xf>
    <xf numFmtId="0" fontId="4" fillId="7" borderId="11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5" fillId="0" borderId="8" xfId="0" applyFont="1" applyBorder="1" applyAlignment="1">
      <alignment horizontal="right"/>
    </xf>
    <xf numFmtId="0" fontId="3" fillId="0" borderId="3" xfId="0" applyFont="1" applyBorder="1"/>
    <xf numFmtId="0" fontId="5" fillId="5" borderId="8" xfId="0" applyFont="1" applyFill="1" applyBorder="1" applyAlignment="1">
      <alignment horizontal="right"/>
    </xf>
    <xf numFmtId="0" fontId="3" fillId="5" borderId="3" xfId="0" applyFont="1" applyFill="1" applyBorder="1"/>
    <xf numFmtId="0" fontId="5" fillId="0" borderId="12" xfId="0" applyFont="1" applyBorder="1" applyAlignment="1">
      <alignment horizontal="right"/>
    </xf>
    <xf numFmtId="0" fontId="3" fillId="0" borderId="13" xfId="0" applyFont="1" applyBorder="1"/>
    <xf numFmtId="0" fontId="5" fillId="5" borderId="19" xfId="0" applyFont="1" applyFill="1" applyBorder="1" applyAlignment="1">
      <alignment horizontal="right"/>
    </xf>
    <xf numFmtId="0" fontId="3" fillId="5" borderId="20" xfId="0" applyFont="1" applyFill="1" applyBorder="1"/>
    <xf numFmtId="165" fontId="3" fillId="0" borderId="24" xfId="0" applyNumberFormat="1" applyFont="1" applyBorder="1"/>
    <xf numFmtId="165" fontId="3" fillId="5" borderId="25" xfId="0" applyNumberFormat="1" applyFont="1" applyFill="1" applyBorder="1"/>
    <xf numFmtId="165" fontId="3" fillId="0" borderId="25" xfId="0" applyNumberFormat="1" applyFont="1" applyBorder="1"/>
    <xf numFmtId="164" fontId="3" fillId="5" borderId="25" xfId="0" applyNumberFormat="1" applyFont="1" applyFill="1" applyBorder="1"/>
    <xf numFmtId="164" fontId="3" fillId="0" borderId="25" xfId="0" applyNumberFormat="1" applyFont="1" applyBorder="1"/>
    <xf numFmtId="3" fontId="3" fillId="5" borderId="25" xfId="0" applyNumberFormat="1" applyFont="1" applyFill="1" applyBorder="1"/>
    <xf numFmtId="164" fontId="3" fillId="5" borderId="26" xfId="0" applyNumberFormat="1" applyFont="1" applyFill="1" applyBorder="1"/>
    <xf numFmtId="0" fontId="3" fillId="2" borderId="27" xfId="1" applyFont="1" applyBorder="1" applyAlignment="1" applyProtection="1">
      <alignment horizontal="right" vertical="center"/>
      <protection locked="0"/>
    </xf>
    <xf numFmtId="0" fontId="3" fillId="4" borderId="28" xfId="1" applyNumberFormat="1" applyFont="1" applyFill="1" applyBorder="1" applyAlignment="1" applyProtection="1">
      <alignment horizontal="right" vertical="center"/>
      <protection locked="0"/>
    </xf>
    <xf numFmtId="0" fontId="3" fillId="2" borderId="28" xfId="1" applyFont="1" applyBorder="1" applyAlignment="1" applyProtection="1">
      <alignment horizontal="right" vertical="center"/>
      <protection locked="0"/>
    </xf>
    <xf numFmtId="0" fontId="3" fillId="4" borderId="29" xfId="1" applyNumberFormat="1" applyFont="1" applyFill="1" applyBorder="1" applyAlignment="1" applyProtection="1">
      <alignment horizontal="right" vertical="center"/>
      <protection locked="0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7" fillId="3" borderId="4" xfId="2" applyFont="1" applyBorder="1" applyAlignment="1" applyProtection="1">
      <alignment horizontal="left" vertical="center"/>
    </xf>
    <xf numFmtId="0" fontId="7" fillId="3" borderId="6" xfId="2" applyFont="1" applyBorder="1" applyAlignment="1" applyProtection="1">
      <alignment horizontal="left" vertical="center"/>
    </xf>
    <xf numFmtId="0" fontId="7" fillId="3" borderId="18" xfId="2" applyFont="1" applyBorder="1" applyAlignment="1" applyProtection="1">
      <alignment horizontal="left" vertical="center"/>
    </xf>
    <xf numFmtId="0" fontId="7" fillId="6" borderId="5" xfId="2" applyFont="1" applyFill="1" applyBorder="1" applyAlignment="1" applyProtection="1">
      <alignment horizontal="left" vertical="center"/>
    </xf>
    <xf numFmtId="0" fontId="7" fillId="6" borderId="7" xfId="2" applyFont="1" applyFill="1" applyBorder="1" applyAlignment="1" applyProtection="1">
      <alignment horizontal="left" vertical="center"/>
    </xf>
    <xf numFmtId="0" fontId="7" fillId="6" borderId="17" xfId="2" applyFont="1" applyFill="1" applyBorder="1" applyAlignment="1" applyProtection="1">
      <alignment horizontal="left" vertical="center"/>
    </xf>
    <xf numFmtId="0" fontId="7" fillId="6" borderId="21" xfId="2" applyFont="1" applyFill="1" applyBorder="1" applyAlignment="1" applyProtection="1">
      <alignment horizontal="left" vertical="center"/>
    </xf>
    <xf numFmtId="0" fontId="7" fillId="6" borderId="22" xfId="2" applyFont="1" applyFill="1" applyBorder="1" applyAlignment="1" applyProtection="1">
      <alignment horizontal="left" vertical="center"/>
    </xf>
    <xf numFmtId="0" fontId="7" fillId="6" borderId="23" xfId="2" applyFont="1" applyFill="1" applyBorder="1" applyAlignment="1" applyProtection="1">
      <alignment horizontal="left" vertical="center"/>
    </xf>
    <xf numFmtId="0" fontId="7" fillId="3" borderId="14" xfId="2" applyFont="1" applyBorder="1" applyAlignment="1" applyProtection="1">
      <alignment horizontal="left" vertical="center"/>
    </xf>
    <xf numFmtId="0" fontId="7" fillId="3" borderId="15" xfId="2" applyFont="1" applyBorder="1" applyAlignment="1" applyProtection="1">
      <alignment horizontal="left" vertical="center"/>
    </xf>
    <xf numFmtId="0" fontId="7" fillId="3" borderId="16" xfId="2" applyFont="1" applyBorder="1" applyAlignment="1" applyProtection="1">
      <alignment horizontal="left" vertical="center"/>
    </xf>
  </cellXfs>
  <cellStyles count="3">
    <cellStyle name="Eingabe" xfId="1" builtinId="20"/>
    <cellStyle name="Notiz" xfId="2" builtinId="1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70E18-165E-124C-8AA9-0D40FB38841C}">
  <dimension ref="B2:L29"/>
  <sheetViews>
    <sheetView showGridLines="0" tabSelected="1" zoomScale="150" workbookViewId="0">
      <selection activeCell="C15" sqref="C15"/>
    </sheetView>
  </sheetViews>
  <sheetFormatPr baseColWidth="10" defaultRowHeight="16" x14ac:dyDescent="0.2"/>
  <cols>
    <col min="1" max="1" width="10.83203125" style="1"/>
    <col min="2" max="2" width="3.1640625" style="1" customWidth="1"/>
    <col min="3" max="3" width="44.6640625" style="1" customWidth="1"/>
    <col min="4" max="4" width="12.6640625" style="1" customWidth="1"/>
    <col min="5" max="5" width="17" style="1" customWidth="1"/>
    <col min="6" max="16384" width="10.83203125" style="1"/>
  </cols>
  <sheetData>
    <row r="2" spans="2:12" ht="17" thickBot="1" x14ac:dyDescent="0.25"/>
    <row r="3" spans="2:12" ht="17" thickBot="1" x14ac:dyDescent="0.25">
      <c r="B3" s="2"/>
      <c r="C3" s="3" t="s">
        <v>0</v>
      </c>
      <c r="D3" s="3" t="s">
        <v>2</v>
      </c>
      <c r="E3" s="3" t="s">
        <v>1</v>
      </c>
      <c r="F3" s="23" t="s">
        <v>18</v>
      </c>
      <c r="G3" s="23"/>
      <c r="H3" s="23"/>
      <c r="I3" s="23"/>
      <c r="J3" s="23"/>
      <c r="K3" s="23"/>
      <c r="L3" s="24"/>
    </row>
    <row r="4" spans="2:12" x14ac:dyDescent="0.2">
      <c r="C4" s="4" t="s">
        <v>19</v>
      </c>
      <c r="D4" s="19">
        <v>93.6</v>
      </c>
      <c r="E4" s="5" t="s">
        <v>3</v>
      </c>
    </row>
    <row r="5" spans="2:12" x14ac:dyDescent="0.2">
      <c r="C5" s="6" t="s">
        <v>20</v>
      </c>
      <c r="D5" s="20">
        <v>1.5</v>
      </c>
      <c r="E5" s="7" t="s">
        <v>21</v>
      </c>
    </row>
    <row r="6" spans="2:12" x14ac:dyDescent="0.2">
      <c r="C6" s="4" t="s">
        <v>22</v>
      </c>
      <c r="D6" s="21">
        <v>6.5</v>
      </c>
      <c r="E6" s="5" t="s">
        <v>4</v>
      </c>
    </row>
    <row r="7" spans="2:12" x14ac:dyDescent="0.2">
      <c r="C7" s="6" t="s">
        <v>23</v>
      </c>
      <c r="D7" s="20">
        <v>26</v>
      </c>
      <c r="E7" s="7" t="s">
        <v>5</v>
      </c>
    </row>
    <row r="8" spans="2:12" x14ac:dyDescent="0.2">
      <c r="C8" s="4" t="s">
        <v>24</v>
      </c>
      <c r="D8" s="21">
        <v>3</v>
      </c>
      <c r="E8" s="5" t="s">
        <v>5</v>
      </c>
    </row>
    <row r="9" spans="2:12" x14ac:dyDescent="0.2">
      <c r="C9" s="6" t="s">
        <v>36</v>
      </c>
      <c r="D9" s="20">
        <v>10</v>
      </c>
      <c r="E9" s="7" t="s">
        <v>6</v>
      </c>
    </row>
    <row r="10" spans="2:12" x14ac:dyDescent="0.2">
      <c r="C10" s="4" t="s">
        <v>25</v>
      </c>
      <c r="D10" s="21">
        <v>500</v>
      </c>
      <c r="E10" s="5" t="s">
        <v>7</v>
      </c>
    </row>
    <row r="11" spans="2:12" ht="17" thickBot="1" x14ac:dyDescent="0.25">
      <c r="C11" s="6" t="s">
        <v>26</v>
      </c>
      <c r="D11" s="22">
        <v>1.1499999999999999</v>
      </c>
      <c r="E11" s="7" t="s">
        <v>21</v>
      </c>
    </row>
    <row r="12" spans="2:12" x14ac:dyDescent="0.2">
      <c r="C12" s="6"/>
      <c r="D12" s="15">
        <f>(D4*10^6)/(0.9*D22*(D21*1000))</f>
        <v>10.63111111111111</v>
      </c>
      <c r="E12" s="7"/>
    </row>
    <row r="13" spans="2:12" x14ac:dyDescent="0.2">
      <c r="C13" s="6" t="s">
        <v>38</v>
      </c>
      <c r="D13" s="15">
        <v>1.35</v>
      </c>
      <c r="E13" s="7"/>
    </row>
    <row r="14" spans="2:12" x14ac:dyDescent="0.2">
      <c r="C14" s="6" t="s">
        <v>37</v>
      </c>
      <c r="D14" s="15">
        <v>25</v>
      </c>
      <c r="E14" s="7"/>
    </row>
    <row r="15" spans="2:12" x14ac:dyDescent="0.2">
      <c r="C15" s="6" t="s">
        <v>42</v>
      </c>
      <c r="D15" s="15">
        <f>D13*D14</f>
        <v>33.75</v>
      </c>
      <c r="E15" s="7"/>
    </row>
    <row r="16" spans="2:12" x14ac:dyDescent="0.2">
      <c r="C16" s="6"/>
      <c r="D16" s="15">
        <f>D15/(D21/10)</f>
        <v>0.77625</v>
      </c>
      <c r="E16" s="7" t="s">
        <v>39</v>
      </c>
    </row>
    <row r="17" spans="3:12" ht="17" thickBot="1" x14ac:dyDescent="0.25">
      <c r="C17" s="6" t="s">
        <v>41</v>
      </c>
      <c r="D17" s="15">
        <f>D12+D16</f>
        <v>11.40736111111111</v>
      </c>
      <c r="E17" s="7" t="s">
        <v>40</v>
      </c>
    </row>
    <row r="18" spans="3:12" x14ac:dyDescent="0.2">
      <c r="C18" s="8" t="s">
        <v>27</v>
      </c>
      <c r="D18" s="12">
        <f>D4*D5</f>
        <v>140.39999999999998</v>
      </c>
      <c r="E18" s="9" t="s">
        <v>3</v>
      </c>
      <c r="F18" s="34" t="str">
        <f>TEXT(D4,"0.000")&amp;" kN/m² × "&amp;TEXT(D5,"0.000")&amp;" = "&amp;TEXT(D18,"0.000")&amp;" kN/m²"</f>
        <v>93.600 kN/m² × 1.500 = 140.400 kN/m²</v>
      </c>
      <c r="G18" s="35"/>
      <c r="H18" s="35"/>
      <c r="I18" s="35"/>
      <c r="J18" s="35"/>
      <c r="K18" s="35"/>
      <c r="L18" s="36"/>
    </row>
    <row r="19" spans="3:12" x14ac:dyDescent="0.2">
      <c r="C19" s="6" t="s">
        <v>28</v>
      </c>
      <c r="D19" s="13">
        <f>D18*1</f>
        <v>140.39999999999998</v>
      </c>
      <c r="E19" s="7" t="s">
        <v>8</v>
      </c>
      <c r="F19" s="28" t="str">
        <f>TEXT(D18,"0.000")&amp;" kN/m² × 1 = "&amp;TEXT(D19,"0.000")&amp;" kN/m"</f>
        <v>140.400 kN/m² × 1 = 140.400 kN/m</v>
      </c>
      <c r="G19" s="29"/>
      <c r="H19" s="29"/>
      <c r="I19" s="29"/>
      <c r="J19" s="29"/>
      <c r="K19" s="29"/>
      <c r="L19" s="30"/>
    </row>
    <row r="20" spans="3:12" x14ac:dyDescent="0.2">
      <c r="C20" s="4" t="s">
        <v>29</v>
      </c>
      <c r="D20" s="14">
        <f>D19*D6^2/8</f>
        <v>741.48749999999984</v>
      </c>
      <c r="E20" s="5" t="s">
        <v>9</v>
      </c>
      <c r="F20" s="25" t="str">
        <f>"("&amp;TEXT(D19,"0.000")&amp;" kN/m × ("&amp;TEXT(D6,"0.000")&amp;" m)²) ÷ 8 = "&amp;TEXT(D20,"0.000")&amp;" kNm/m"</f>
        <v>(140.400 kN/m × (6.500 m)²) ÷ 8 = 741.488 kNm/m</v>
      </c>
      <c r="G20" s="26"/>
      <c r="H20" s="26"/>
      <c r="I20" s="26"/>
      <c r="J20" s="26"/>
      <c r="K20" s="26"/>
      <c r="L20" s="27"/>
    </row>
    <row r="21" spans="3:12" x14ac:dyDescent="0.2">
      <c r="C21" s="6" t="s">
        <v>30</v>
      </c>
      <c r="D21" s="15">
        <f>D10/D11</f>
        <v>434.78260869565219</v>
      </c>
      <c r="E21" s="7" t="s">
        <v>7</v>
      </c>
      <c r="F21" s="28" t="str">
        <f>TEXT(D10,"0.000")&amp;" N/mm² ÷ "&amp;TEXT(D11,"0.000")&amp;" = "&amp;TEXT(D21,"0.000")&amp;" N/mm²"</f>
        <v>500.000 N/mm² ÷ 1.150 = 434.783 N/mm²</v>
      </c>
      <c r="G21" s="29"/>
      <c r="H21" s="29"/>
      <c r="I21" s="29"/>
      <c r="J21" s="29"/>
      <c r="K21" s="29"/>
      <c r="L21" s="30"/>
    </row>
    <row r="22" spans="3:12" x14ac:dyDescent="0.2">
      <c r="C22" s="4" t="s">
        <v>34</v>
      </c>
      <c r="D22" s="16">
        <f>D7-D8-(D9/20)</f>
        <v>22.5</v>
      </c>
      <c r="E22" s="5" t="s">
        <v>5</v>
      </c>
      <c r="F22" s="25" t="str">
        <f>TEXT(D7,"0.000")&amp;" cm - "&amp;TEXT(D8,"0.000")&amp;" cm - ("&amp;TEXT(D9,"0.000")&amp;" mm ÷ 20) = "&amp;TEXT(D22,"0.000")&amp;" cm"</f>
        <v>26.000 cm - 3.000 cm - (10.000 mm ÷ 20) = 22.500 cm</v>
      </c>
      <c r="G22" s="26"/>
      <c r="H22" s="26"/>
      <c r="I22" s="26"/>
      <c r="J22" s="26"/>
      <c r="K22" s="26"/>
      <c r="L22" s="27"/>
    </row>
    <row r="23" spans="3:12" x14ac:dyDescent="0.2">
      <c r="C23" s="6" t="s">
        <v>35</v>
      </c>
      <c r="D23" s="15">
        <f>0.9*D22</f>
        <v>20.25</v>
      </c>
      <c r="E23" s="7" t="s">
        <v>5</v>
      </c>
      <c r="F23" s="28" t="str">
        <f>"0.9 × "&amp;TEXT(D22,"0.000")&amp;" cm = "&amp;TEXT(D23,"0.000")&amp;" cm"</f>
        <v>0.9 × 22.500 cm = 20.250 cm</v>
      </c>
      <c r="G23" s="29"/>
      <c r="H23" s="29"/>
      <c r="I23" s="29"/>
      <c r="J23" s="29"/>
      <c r="K23" s="29"/>
      <c r="L23" s="30"/>
    </row>
    <row r="24" spans="3:12" x14ac:dyDescent="0.2">
      <c r="C24" s="4" t="s">
        <v>31</v>
      </c>
      <c r="D24" s="16">
        <f>D20*100/(D23*(D21/10))</f>
        <v>84.21833333333332</v>
      </c>
      <c r="E24" s="5" t="s">
        <v>10</v>
      </c>
      <c r="F24" s="25" t="str">
        <f>"("&amp;TEXT(D20,"0.000")&amp;" kNm × 100) ÷ ("&amp;TEXT(D23,"0.000")&amp;" cm × ("&amp;TEXT(D21,"0.000")&amp;" N/mm² ÷ 10)) = "&amp;TEXT(D24,"0.000")&amp;" cm²/m"</f>
        <v>(741.488 kNm × 100) ÷ (20.250 cm × (434.783 N/mm² ÷ 10)) = 84.218 cm²/m</v>
      </c>
      <c r="G24" s="26"/>
      <c r="H24" s="26"/>
      <c r="I24" s="26"/>
      <c r="J24" s="26"/>
      <c r="K24" s="26"/>
      <c r="L24" s="27"/>
    </row>
    <row r="25" spans="3:12" x14ac:dyDescent="0.2">
      <c r="C25" s="6" t="s">
        <v>32</v>
      </c>
      <c r="D25" s="15">
        <f>PI()*(D9/20)^2</f>
        <v>0.78539816339744828</v>
      </c>
      <c r="E25" s="7" t="s">
        <v>11</v>
      </c>
      <c r="F25" s="28" t="str">
        <f>"π × ("&amp;TEXT(D9,"0.000")&amp;" mm ÷ 20)² = "&amp;TEXT(D25,"0.000")&amp;" cm²"</f>
        <v>π × (10.000 mm ÷ 20)² = 0.785 cm²</v>
      </c>
      <c r="G25" s="29"/>
      <c r="H25" s="29"/>
      <c r="I25" s="29"/>
      <c r="J25" s="29"/>
      <c r="K25" s="29"/>
      <c r="L25" s="30"/>
    </row>
    <row r="26" spans="3:12" x14ac:dyDescent="0.2">
      <c r="C26" s="4" t="s">
        <v>33</v>
      </c>
      <c r="D26" s="16">
        <f>D25*100/D24</f>
        <v>0.93257386166604472</v>
      </c>
      <c r="E26" s="5" t="s">
        <v>5</v>
      </c>
      <c r="F26" s="25" t="str">
        <f>"("&amp;TEXT(D25,"0.000")&amp;" cm² × 100) ÷ "&amp;TEXT(D24,"0.000")&amp;" cm²/m = "&amp;TEXT(D26,"0.000")&amp;" cm"</f>
        <v>(0.785 cm² × 100) ÷ 84.218 cm²/m = 0.933 cm</v>
      </c>
      <c r="G26" s="26"/>
      <c r="H26" s="26"/>
      <c r="I26" s="26"/>
      <c r="J26" s="26"/>
      <c r="K26" s="26"/>
      <c r="L26" s="27"/>
    </row>
    <row r="27" spans="3:12" x14ac:dyDescent="0.2">
      <c r="C27" s="6" t="s">
        <v>14</v>
      </c>
      <c r="D27" s="17">
        <f>ROUNDUP(100/D26,0)</f>
        <v>108</v>
      </c>
      <c r="E27" s="7" t="s">
        <v>15</v>
      </c>
      <c r="F27" s="28" t="str">
        <f>"100 cm ÷ "&amp;TEXT(D26,"0.000")&amp;" cm = "&amp;TEXT(100/D26,"0.000")&amp;" Stäbe/m"</f>
        <v>100 cm ÷ 0.933 cm = 107.230 Stäbe/m</v>
      </c>
      <c r="G27" s="29"/>
      <c r="H27" s="29"/>
      <c r="I27" s="29"/>
      <c r="J27" s="29"/>
      <c r="K27" s="29"/>
      <c r="L27" s="30"/>
    </row>
    <row r="28" spans="3:12" x14ac:dyDescent="0.2">
      <c r="C28" s="4" t="s">
        <v>12</v>
      </c>
      <c r="D28" s="16">
        <f>D25*0.785</f>
        <v>0.61653755826699697</v>
      </c>
      <c r="E28" s="5" t="s">
        <v>13</v>
      </c>
      <c r="F28" s="25" t="str">
        <f>TEXT(D25,"0.000")&amp;" cm² × 0.785 = "&amp;TEXT(D25*0.785,"0.000")&amp;" kg/m"</f>
        <v>0.785 cm² × 0.785 = 0.617 kg/m</v>
      </c>
      <c r="G28" s="26"/>
      <c r="H28" s="26"/>
      <c r="I28" s="26"/>
      <c r="J28" s="26"/>
      <c r="K28" s="26"/>
      <c r="L28" s="27"/>
    </row>
    <row r="29" spans="3:12" ht="17" thickBot="1" x14ac:dyDescent="0.25">
      <c r="C29" s="10" t="s">
        <v>17</v>
      </c>
      <c r="D29" s="18">
        <f>(D25*0.785)*(100/D26)</f>
        <v>66.111391666666663</v>
      </c>
      <c r="E29" s="11" t="s">
        <v>16</v>
      </c>
      <c r="F29" s="31" t="str">
        <f>"("&amp;TEXT(D25,"0.000")&amp;" cm² × 0.785) × ("&amp;TEXT(100/D26,"0.000")&amp;" Stäbe/m) = "&amp;TEXT((D25*0.785)*(100/D26),"0.000")&amp;" kg/m²"</f>
        <v>(0.785 cm² × 0.785) × (107.230 Stäbe/m) = 66.111 kg/m²</v>
      </c>
      <c r="G29" s="32"/>
      <c r="H29" s="32"/>
      <c r="I29" s="32"/>
      <c r="J29" s="32"/>
      <c r="K29" s="32"/>
      <c r="L29" s="33"/>
    </row>
  </sheetData>
  <mergeCells count="13">
    <mergeCell ref="F28:L28"/>
    <mergeCell ref="F29:L29"/>
    <mergeCell ref="F18:L18"/>
    <mergeCell ref="F19:L19"/>
    <mergeCell ref="F20:L20"/>
    <mergeCell ref="F21:L21"/>
    <mergeCell ref="F22:L22"/>
    <mergeCell ref="F23:L23"/>
    <mergeCell ref="F3:L3"/>
    <mergeCell ref="F24:L24"/>
    <mergeCell ref="F25:L25"/>
    <mergeCell ref="F26:L26"/>
    <mergeCell ref="F27:L27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2025-04-28T20:05:24Z</dcterms:created>
  <dcterms:modified xsi:type="dcterms:W3CDTF">2025-05-05T10:30:14Z</dcterms:modified>
</cp:coreProperties>
</file>