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F6286E82-4F96-984B-9B6C-6347D456063B}" xr6:coauthVersionLast="47" xr6:coauthVersionMax="47" xr10:uidLastSave="{00000000-0000-0000-0000-000000000000}"/>
  <bookViews>
    <workbookView xWindow="1540" yWindow="1720" windowWidth="30860" windowHeight="194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1" l="1"/>
  <c r="D28" i="1" s="1" a="1"/>
  <c r="D28" i="1" s="1"/>
  <c r="C28" i="1" s="1"/>
  <c r="D106" i="1"/>
  <c r="F106" i="1" s="1"/>
  <c r="D105" i="1"/>
  <c r="F105" i="1" s="1"/>
  <c r="D104" i="1"/>
  <c r="F104" i="1" s="1"/>
  <c r="D103" i="1"/>
  <c r="F103" i="1" s="1"/>
  <c r="D100" i="1"/>
  <c r="F100" i="1" s="1"/>
  <c r="D102" i="1"/>
  <c r="F102" i="1" s="1"/>
  <c r="D101" i="1"/>
  <c r="F101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F72" i="1" a="1"/>
  <c r="F72" i="1" s="1"/>
  <c r="D72" i="1" a="1"/>
  <c r="G68" i="1"/>
  <c r="H68" i="1" s="1"/>
  <c r="F15" i="1"/>
  <c r="G67" i="1"/>
  <c r="G66" i="1"/>
  <c r="G65" i="1"/>
  <c r="D15" i="1"/>
  <c r="D8" i="1"/>
  <c r="F13" i="1" s="1"/>
  <c r="D18" i="1" l="1"/>
  <c r="G29" i="1" s="1"/>
  <c r="D29" i="1" s="1" a="1"/>
  <c r="D29" i="1" s="1"/>
  <c r="D20" i="1"/>
  <c r="D19" i="1"/>
  <c r="D25" i="1"/>
  <c r="D24" i="1"/>
  <c r="D22" i="1"/>
  <c r="D21" i="1"/>
  <c r="D23" i="1"/>
  <c r="D52" i="4" a="1"/>
  <c r="D52" i="4" s="1"/>
  <c r="C52" i="4" a="1"/>
  <c r="C52" i="4" s="1"/>
  <c r="D72" i="1"/>
  <c r="H67" i="1"/>
  <c r="H65" i="1"/>
  <c r="D65" i="1" a="1"/>
  <c r="H66" i="1"/>
  <c r="D13" i="1"/>
  <c r="I23" i="4" a="1"/>
  <c r="C29" i="1" l="1"/>
  <c r="B3" i="4"/>
  <c r="G30" i="1"/>
  <c r="F21" i="1"/>
  <c r="F24" i="1"/>
  <c r="F18" i="1"/>
  <c r="F23" i="1"/>
  <c r="F25" i="1"/>
  <c r="F20" i="1"/>
  <c r="F19" i="1"/>
  <c r="F22" i="1"/>
  <c r="I23" i="4"/>
  <c r="D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F65" i="1" a="1"/>
  <c r="F65" i="1" s="1"/>
  <c r="D30" i="1" l="1" a="1"/>
  <c r="D30" i="1" s="1"/>
  <c r="G31" i="1"/>
  <c r="D78" i="1" a="1"/>
  <c r="D78" i="1" s="1"/>
  <c r="D107" i="1" a="1"/>
  <c r="D107" i="1" s="1"/>
  <c r="J23" i="4" a="1"/>
  <c r="F30" i="1" l="1"/>
  <c r="C30" i="1"/>
  <c r="B4" i="4"/>
  <c r="D31" i="1" a="1"/>
  <c r="D31" i="1" s="1"/>
  <c r="G32" i="1"/>
  <c r="J23" i="4"/>
  <c r="F31" i="1" l="1"/>
  <c r="C31" i="1"/>
  <c r="B5" i="4"/>
  <c r="D32" i="1" a="1"/>
  <c r="D32" i="1" s="1"/>
  <c r="G33" i="1"/>
  <c r="F32" i="1" l="1"/>
  <c r="C32" i="1"/>
  <c r="B6" i="4"/>
  <c r="D33" i="1" a="1"/>
  <c r="D33" i="1" s="1"/>
  <c r="G34" i="1"/>
  <c r="F33" i="1" l="1"/>
  <c r="C33" i="1"/>
  <c r="B7" i="4"/>
  <c r="D34" i="1" a="1"/>
  <c r="D34" i="1" s="1"/>
  <c r="G35" i="1"/>
  <c r="F34" i="1" l="1"/>
  <c r="C34" i="1"/>
  <c r="B8" i="4"/>
  <c r="D35" i="1" a="1"/>
  <c r="D35" i="1" s="1"/>
  <c r="G36" i="1"/>
  <c r="F35" i="1" l="1"/>
  <c r="C35" i="1"/>
  <c r="B9" i="4"/>
  <c r="D36" i="1" a="1"/>
  <c r="D36" i="1" s="1"/>
  <c r="G37" i="1"/>
  <c r="F36" i="1" l="1"/>
  <c r="C36" i="1"/>
  <c r="B10" i="4"/>
  <c r="D37" i="1" a="1"/>
  <c r="D37" i="1" s="1"/>
  <c r="G38" i="1"/>
  <c r="F37" i="1" l="1"/>
  <c r="C37" i="1"/>
  <c r="B11" i="4"/>
  <c r="D38" i="1" a="1"/>
  <c r="D38" i="1" s="1"/>
  <c r="G39" i="1"/>
  <c r="F38" i="1" l="1"/>
  <c r="C38" i="1"/>
  <c r="B12" i="4"/>
  <c r="D39" i="1" a="1"/>
  <c r="D39" i="1" s="1"/>
  <c r="G40" i="1"/>
  <c r="F39" i="1" l="1"/>
  <c r="C39" i="1"/>
  <c r="B13" i="4"/>
  <c r="D40" i="1" a="1"/>
  <c r="D40" i="1" s="1"/>
  <c r="G41" i="1"/>
  <c r="F40" i="1" l="1"/>
  <c r="C40" i="1"/>
  <c r="B14" i="4"/>
  <c r="D41" i="1" a="1"/>
  <c r="D41" i="1" s="1"/>
  <c r="F41" i="1" s="1"/>
  <c r="G42" i="1"/>
  <c r="C41" i="1" l="1"/>
  <c r="B15" i="4"/>
  <c r="D42" i="1" a="1"/>
  <c r="D42" i="1" s="1"/>
  <c r="F42" i="1" s="1"/>
  <c r="G43" i="1"/>
  <c r="B16" i="4" l="1"/>
  <c r="C42" i="1"/>
  <c r="D43" i="1" a="1"/>
  <c r="D43" i="1" s="1"/>
  <c r="F43" i="1" s="1"/>
  <c r="B17" i="4" l="1"/>
  <c r="C43" i="1"/>
  <c r="D44" i="1" a="1"/>
  <c r="D44" i="1" s="1"/>
  <c r="E23" i="4" a="1"/>
  <c r="E23" i="4" s="1"/>
  <c r="F24" i="4" l="1" a="1"/>
  <c r="G35" i="4" a="1"/>
  <c r="G27" i="4" a="1"/>
  <c r="G29" i="4" a="1"/>
  <c r="G25" i="4" a="1"/>
  <c r="G33" i="4" a="1"/>
  <c r="G37" i="4" a="1"/>
  <c r="G31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29" i="4" a="1"/>
  <c r="I25" i="4" a="1"/>
  <c r="I31" i="4" a="1"/>
  <c r="I37" i="4" a="1"/>
  <c r="I33" i="4" a="1"/>
  <c r="I35" i="4" a="1"/>
  <c r="I27" i="4" a="1"/>
  <c r="I35" i="4" l="1"/>
  <c r="I37" i="4"/>
  <c r="I31" i="4"/>
  <c r="I33" i="4"/>
  <c r="I25" i="4"/>
  <c r="I27" i="4"/>
  <c r="I29" i="4"/>
  <c r="J29" i="4" a="1"/>
  <c r="J31" i="4" a="1"/>
  <c r="J27" i="4" a="1"/>
  <c r="J35" i="4" a="1"/>
  <c r="J25" i="4" a="1"/>
  <c r="J37" i="4" a="1"/>
  <c r="J33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<sst xmlns="http://schemas.openxmlformats.org/spreadsheetml/2006/main" count="188" uniqueCount="116">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</sst>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FFBA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5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1" xfId="3" applyFont="1" applyBorder="1" applyProtection="1"/>
    <xf numFmtId="0" fontId="8" fillId="0" borderId="33" xfId="0" applyFont="1" applyBorder="1"/>
    <xf numFmtId="0" fontId="8" fillId="4" borderId="34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0" fontId="8" fillId="7" borderId="32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0" fontId="11" fillId="2" borderId="39" xfId="1" applyFont="1" applyBorder="1" applyAlignment="1" applyProtection="1">
      <alignment horizontal="right"/>
      <protection locked="0"/>
    </xf>
    <xf numFmtId="0" fontId="8" fillId="6" borderId="6" xfId="0" applyFont="1" applyFill="1" applyBorder="1"/>
    <xf numFmtId="0" fontId="8" fillId="0" borderId="40" xfId="0" applyFont="1" applyBorder="1"/>
    <xf numFmtId="0" fontId="8" fillId="6" borderId="41" xfId="0" applyFont="1" applyFill="1" applyBorder="1"/>
    <xf numFmtId="0" fontId="8" fillId="7" borderId="42" xfId="0" applyFont="1" applyFill="1" applyBorder="1"/>
    <xf numFmtId="0" fontId="8" fillId="7" borderId="41" xfId="0" applyFont="1" applyFill="1" applyBorder="1"/>
    <xf numFmtId="0" fontId="8" fillId="8" borderId="42" xfId="0" applyFont="1" applyFill="1" applyBorder="1"/>
    <xf numFmtId="0" fontId="8" fillId="8" borderId="41" xfId="0" applyFont="1" applyFill="1" applyBorder="1"/>
    <xf numFmtId="0" fontId="8" fillId="9" borderId="42" xfId="0" applyFont="1" applyFill="1" applyBorder="1"/>
    <xf numFmtId="0" fontId="8" fillId="9" borderId="41" xfId="0" applyFont="1" applyFill="1" applyBorder="1"/>
    <xf numFmtId="0" fontId="8" fillId="10" borderId="42" xfId="0" applyFont="1" applyFill="1" applyBorder="1"/>
    <xf numFmtId="0" fontId="8" fillId="10" borderId="41" xfId="0" applyFont="1" applyFill="1" applyBorder="1"/>
    <xf numFmtId="0" fontId="8" fillId="11" borderId="42" xfId="0" applyFont="1" applyFill="1" applyBorder="1"/>
    <xf numFmtId="0" fontId="8" fillId="11" borderId="41" xfId="0" applyFont="1" applyFill="1" applyBorder="1"/>
    <xf numFmtId="0" fontId="8" fillId="12" borderId="42" xfId="0" applyFont="1" applyFill="1" applyBorder="1"/>
    <xf numFmtId="0" fontId="8" fillId="12" borderId="41" xfId="0" applyFont="1" applyFill="1" applyBorder="1"/>
    <xf numFmtId="166" fontId="0" fillId="0" borderId="0" xfId="0" applyNumberFormat="1"/>
    <xf numFmtId="166" fontId="0" fillId="0" borderId="11" xfId="0" applyNumberFormat="1" applyBorder="1"/>
    <xf numFmtId="0" fontId="9" fillId="14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left"/>
    </xf>
    <xf numFmtId="0" fontId="1" fillId="5" borderId="17" xfId="0" applyFont="1" applyFill="1" applyBorder="1" applyAlignment="1">
      <alignment horizontal="left"/>
    </xf>
    <xf numFmtId="4" fontId="8" fillId="0" borderId="28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18" borderId="29" xfId="0" applyNumberFormat="1" applyFont="1" applyFill="1" applyBorder="1"/>
    <xf numFmtId="166" fontId="8" fillId="0" borderId="29" xfId="0" applyNumberFormat="1" applyFont="1" applyFill="1" applyBorder="1"/>
    <xf numFmtId="4" fontId="8" fillId="17" borderId="28" xfId="0" applyNumberFormat="1" applyFont="1" applyFill="1" applyBorder="1"/>
    <xf numFmtId="4" fontId="8" fillId="18" borderId="28" xfId="0" applyNumberFormat="1" applyFont="1" applyFill="1" applyBorder="1"/>
    <xf numFmtId="4" fontId="8" fillId="15" borderId="32" xfId="0" applyNumberFormat="1" applyFont="1" applyFill="1" applyBorder="1"/>
    <xf numFmtId="166" fontId="8" fillId="18" borderId="29" xfId="0" applyNumberFormat="1" applyFont="1" applyFill="1" applyBorder="1"/>
    <xf numFmtId="166" fontId="8" fillId="18" borderId="28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169.155</c:v>
                </c:pt>
                <c:pt idx="2">
                  <c:v>-211.44375000000002</c:v>
                </c:pt>
                <c:pt idx="3">
                  <c:v>52.860937500000006</c:v>
                </c:pt>
                <c:pt idx="4">
                  <c:v>-211.44375000000002</c:v>
                </c:pt>
                <c:pt idx="5">
                  <c:v>169.155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338.31</c:v>
                </c:pt>
                <c:pt idx="2">
                  <c:v>-507.46499999999997</c:v>
                </c:pt>
                <c:pt idx="3">
                  <c:v>422.8875000000001</c:v>
                </c:pt>
                <c:pt idx="4">
                  <c:v>-422.8875000000001</c:v>
                </c:pt>
                <c:pt idx="5">
                  <c:v>507.46499999999997</c:v>
                </c:pt>
                <c:pt idx="6">
                  <c:v>-338.31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211.44399999999999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</c:numCache>
            </c:numRef>
          </c:xVal>
          <c:yVal>
            <c:numRef>
              <c:f>Rundungen!$C$52:$C$66</c:f>
              <c:numCache>
                <c:formatCode>#,##0.0000</c:formatCode>
                <c:ptCount val="15"/>
                <c:pt idx="0">
                  <c:v>0</c:v>
                </c:pt>
                <c:pt idx="1">
                  <c:v>1.0874747935517234E-3</c:v>
                </c:pt>
                <c:pt idx="2">
                  <c:v>0</c:v>
                </c:pt>
                <c:pt idx="3">
                  <c:v>8.3159837153955324E-5</c:v>
                </c:pt>
                <c:pt idx="4">
                  <c:v>0</c:v>
                </c:pt>
                <c:pt idx="5">
                  <c:v>1.0874747935517234E-3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5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1.0874747935517234E-3"/>
          <c:min val="-2.7186869838793085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78</xdr:row>
      <xdr:rowOff>101600</xdr:rowOff>
    </xdr:from>
    <xdr:to>
      <xdr:col>5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68039</xdr:colOff>
      <xdr:row>44</xdr:row>
      <xdr:rowOff>45358</xdr:rowOff>
    </xdr:from>
    <xdr:to>
      <xdr:col>5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35607</xdr:colOff>
      <xdr:row>107</xdr:row>
      <xdr:rowOff>82016</xdr:rowOff>
    </xdr:from>
    <xdr:to>
      <xdr:col>5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26"/>
  <sheetViews>
    <sheetView showGridLines="0" tabSelected="1" topLeftCell="A5" zoomScale="139" zoomScaleNormal="166" workbookViewId="0">
      <selection activeCell="D4" sqref="D4"/>
    </sheetView>
  </sheetViews>
  <sheetFormatPr baseColWidth="10" defaultColWidth="8.83203125" defaultRowHeight="15" x14ac:dyDescent="0.2"/>
  <cols>
    <col min="1" max="2" width="2" style="20" customWidth="1"/>
    <col min="3" max="3" width="37" style="20" bestFit="1" customWidth="1"/>
    <col min="4" max="4" width="13.6640625" style="20" customWidth="1"/>
    <col min="5" max="5" width="6.83203125" style="20" customWidth="1"/>
    <col min="6" max="6" width="55" style="20" customWidth="1"/>
    <col min="7" max="7" width="17.83203125" style="20" bestFit="1" customWidth="1"/>
    <col min="8" max="8" width="24.6640625" style="20" bestFit="1" customWidth="1"/>
    <col min="9" max="16384" width="8.83203125" style="20"/>
  </cols>
  <sheetData>
    <row r="1" spans="1:6" ht="20" thickBot="1" x14ac:dyDescent="0.3">
      <c r="A1" s="118" t="s">
        <v>0</v>
      </c>
      <c r="B1" s="119"/>
      <c r="C1" s="119"/>
      <c r="D1" s="18"/>
      <c r="E1" s="18"/>
      <c r="F1" s="19" t="s">
        <v>1</v>
      </c>
    </row>
    <row r="2" spans="1:6" ht="16" thickBot="1" x14ac:dyDescent="0.25"/>
    <row r="3" spans="1:6" ht="16" thickBot="1" x14ac:dyDescent="0.25">
      <c r="B3" s="120" t="s">
        <v>2</v>
      </c>
      <c r="C3" s="121"/>
      <c r="D3" s="15" t="s">
        <v>3</v>
      </c>
      <c r="E3" s="15" t="s">
        <v>4</v>
      </c>
      <c r="F3" s="21"/>
    </row>
    <row r="4" spans="1:6" ht="16" x14ac:dyDescent="0.2">
      <c r="C4" s="24" t="s">
        <v>5</v>
      </c>
      <c r="D4" s="100" t="s">
        <v>57</v>
      </c>
      <c r="E4" s="1"/>
      <c r="F4" s="26" t="s">
        <v>7</v>
      </c>
    </row>
    <row r="5" spans="1:6" ht="16" x14ac:dyDescent="0.2">
      <c r="C5" s="24" t="s">
        <v>8</v>
      </c>
      <c r="D5" s="25">
        <v>2.5</v>
      </c>
      <c r="E5" s="20" t="s">
        <v>9</v>
      </c>
      <c r="F5" s="26" t="s">
        <v>10</v>
      </c>
    </row>
    <row r="6" spans="1:6" ht="16" x14ac:dyDescent="0.2">
      <c r="C6" s="24" t="s">
        <v>11</v>
      </c>
      <c r="D6" s="25">
        <v>22</v>
      </c>
      <c r="E6" s="20" t="s">
        <v>12</v>
      </c>
      <c r="F6" s="26" t="s">
        <v>88</v>
      </c>
    </row>
    <row r="7" spans="1:6" ht="16" x14ac:dyDescent="0.2">
      <c r="C7" s="24" t="s">
        <v>13</v>
      </c>
      <c r="D7" s="25">
        <v>0.5</v>
      </c>
      <c r="E7" s="20" t="s">
        <v>9</v>
      </c>
      <c r="F7" s="26" t="s">
        <v>88</v>
      </c>
    </row>
    <row r="8" spans="1:6" ht="16" x14ac:dyDescent="0.2">
      <c r="C8" s="24" t="s">
        <v>14</v>
      </c>
      <c r="D8" s="27">
        <f>VLOOKUP(Berechnungen!D6,Tabelle2[],2,FALSE)</f>
        <v>7.2</v>
      </c>
      <c r="E8" s="20" t="s">
        <v>15</v>
      </c>
      <c r="F8" s="26"/>
    </row>
    <row r="9" spans="1:6" ht="16" x14ac:dyDescent="0.2">
      <c r="C9" s="24" t="s">
        <v>16</v>
      </c>
      <c r="D9" s="25">
        <v>82635105</v>
      </c>
      <c r="E9" s="20" t="s">
        <v>17</v>
      </c>
      <c r="F9" s="26" t="s">
        <v>87</v>
      </c>
    </row>
    <row r="10" spans="1:6" ht="17" thickBot="1" x14ac:dyDescent="0.25">
      <c r="C10" s="28" t="s">
        <v>18</v>
      </c>
      <c r="D10" s="29">
        <v>3</v>
      </c>
      <c r="E10" s="30"/>
      <c r="F10" s="31" t="s">
        <v>10</v>
      </c>
    </row>
    <row r="11" spans="1:6" ht="16" thickBot="1" x14ac:dyDescent="0.25"/>
    <row r="12" spans="1:6" ht="16" thickBot="1" x14ac:dyDescent="0.25">
      <c r="B12" s="120" t="s">
        <v>19</v>
      </c>
      <c r="C12" s="121"/>
      <c r="D12" s="32" t="s">
        <v>20</v>
      </c>
      <c r="E12" s="32" t="s">
        <v>4</v>
      </c>
      <c r="F12" s="33" t="s">
        <v>21</v>
      </c>
    </row>
    <row r="13" spans="1:6" ht="16" x14ac:dyDescent="0.2">
      <c r="C13" s="22" t="s">
        <v>104</v>
      </c>
      <c r="D13" s="34">
        <f>(D8*D7)</f>
        <v>3.6</v>
      </c>
      <c r="E13" s="35" t="s">
        <v>22</v>
      </c>
      <c r="F13" s="36" t="str">
        <f>D8 &amp; " kN/m * " &amp; ROUND(D7, D10) &amp; " m = " &amp; ROUND(D8 * ROUND(D7, D10), D10) &amp; " kN"</f>
        <v>7.2 kN/m * 0.5 m = 3.6 kN</v>
      </c>
    </row>
    <row r="14" spans="1:6" ht="16" x14ac:dyDescent="0.2">
      <c r="C14" s="24" t="s">
        <v>105</v>
      </c>
      <c r="D14" s="99">
        <v>338.31</v>
      </c>
      <c r="E14" s="37" t="s">
        <v>22</v>
      </c>
      <c r="F14" s="26" t="s">
        <v>89</v>
      </c>
    </row>
    <row r="15" spans="1:6" ht="17" thickBot="1" x14ac:dyDescent="0.25">
      <c r="C15" s="28" t="s">
        <v>23</v>
      </c>
      <c r="D15" s="39">
        <f>(D14*D5)</f>
        <v>845.77499999999998</v>
      </c>
      <c r="E15" s="40" t="s">
        <v>24</v>
      </c>
      <c r="F15" s="41" t="str">
        <f>D14 &amp; " kN * " &amp; ROUND(D5, D10) &amp; " = " &amp; ROUND(D14 * ROUND(D5, D10), D10) &amp; " kN"</f>
        <v>338.31 kN * 2.5 = 845.775 kN</v>
      </c>
    </row>
    <row r="16" spans="1:6" ht="16" thickBot="1" x14ac:dyDescent="0.25"/>
    <row r="17" spans="2:8" ht="16" thickBot="1" x14ac:dyDescent="0.25">
      <c r="B17" s="120" t="s">
        <v>25</v>
      </c>
      <c r="C17" s="121"/>
      <c r="D17" s="32" t="s">
        <v>20</v>
      </c>
      <c r="E17" s="32" t="s">
        <v>4</v>
      </c>
      <c r="F17" s="33" t="s">
        <v>21</v>
      </c>
    </row>
    <row r="18" spans="2:8" x14ac:dyDescent="0.2">
      <c r="C18" s="42" t="s">
        <v>90</v>
      </c>
      <c r="D18" s="127">
        <f>VLOOKUP(D4,'Durchlaufende Träger'!$A$2:$B$8,2,FALSE) * D15</f>
        <v>338.31</v>
      </c>
      <c r="E18" s="35" t="s">
        <v>24</v>
      </c>
      <c r="F18" s="43" t="str">
        <f>IF(D18=0, "", VLOOKUP(D4, 'Durchlaufende Träger'!$A$2:$B$8, 2, FALSE) &amp; " * " &amp; ROUND(D15, D10) &amp; " kN = " &amp; ROUND(VLOOKUP(D4, 'Durchlaufende Träger'!$A$2:$B$8, 2, FALSE) * ROUND(D15, D10), D10) &amp; " kN")</f>
        <v>0.4 * 845.775 kN = 338.31 kN</v>
      </c>
    </row>
    <row r="19" spans="2:8" x14ac:dyDescent="0.2">
      <c r="C19" s="44" t="s">
        <v>91</v>
      </c>
      <c r="D19" s="125">
        <f>VLOOKUP(D4,'Durchlaufende Träger'!$A$2:$C$8,3,FALSE) * D15</f>
        <v>930.35250000000008</v>
      </c>
      <c r="E19" s="37" t="s">
        <v>24</v>
      </c>
      <c r="F19" s="45" t="str">
        <f>IF(D19=0, "", VLOOKUP(D4, 'Durchlaufende Träger'!$A$2:$C$8, 3, FALSE) &amp; " * " &amp; ROUND(D15, D10) &amp; " kN = " &amp; ROUND(VLOOKUP(D4, 'Durchlaufende Träger'!$A$2:$C$8, 3, FALSE) * ROUND(D15, D10), D10) &amp; " kN")</f>
        <v>1.1 * 845.775 kN = 930.353 kN</v>
      </c>
    </row>
    <row r="20" spans="2:8" x14ac:dyDescent="0.2">
      <c r="C20" s="46" t="s">
        <v>92</v>
      </c>
      <c r="D20" s="125">
        <f>VLOOKUP(D4,'Durchlaufende Träger'!$A$2:$D$8,4,FALSE) * D15</f>
        <v>930.35250000000008</v>
      </c>
      <c r="E20" s="37" t="s">
        <v>24</v>
      </c>
      <c r="F20" s="45" t="str">
        <f>IF(D20=0, "", VLOOKUP(D4, 'Durchlaufende Träger'!$A$2:$D$8, 4, FALSE) &amp; " * " &amp; ROUND(D15, D10) &amp; " kN = " &amp; ROUND(VLOOKUP(D4, 'Durchlaufende Träger'!$A$2:$D$8, 4, FALSE) * ROUND(D15, D10), D10) &amp; " kN")</f>
        <v>1.1 * 845.775 kN = 930.353 kN</v>
      </c>
    </row>
    <row r="21" spans="2:8" x14ac:dyDescent="0.2">
      <c r="C21" s="47" t="s">
        <v>93</v>
      </c>
      <c r="D21" s="87">
        <f>VLOOKUP(D4,'Durchlaufende Träger'!$A$2:$E$8,5,FALSE) * D15</f>
        <v>338.31</v>
      </c>
      <c r="E21" s="37" t="s">
        <v>24</v>
      </c>
      <c r="F21" s="45" t="str">
        <f>IF(D21=0, "", VLOOKUP(D4, 'Durchlaufende Träger'!$A$2:$E$8, 5, FALSE) &amp; " * " &amp; ROUND(D15, D10) &amp; " kN = " &amp; ROUND(VLOOKUP(D4, 'Durchlaufende Träger'!$A$2:$E$8, 5, FALSE) * ROUND(D15, D10), D10) &amp; " kN")</f>
        <v>0.4 * 845.775 kN = 338.31 kN</v>
      </c>
    </row>
    <row r="22" spans="2:8" x14ac:dyDescent="0.2">
      <c r="C22" s="48" t="s">
        <v>94</v>
      </c>
      <c r="D22" s="123">
        <f>VLOOKUP(D4,'Durchlaufende Träger'!$A$2:$F$8,6,FALSE) * D15</f>
        <v>0</v>
      </c>
      <c r="E22" s="37" t="s">
        <v>24</v>
      </c>
      <c r="F22" s="45" t="str">
        <f>IF(D22=0, "", VLOOKUP(D4, 'Durchlaufende Träger'!$A$2:$F$8, 6, FALSE) &amp; " * " &amp; ROUND(D15, D10) &amp; " kN = " &amp; ROUND(VLOOKUP(D4, 'Durchlaufende Träger'!$A$2:$F$8, 6, FALSE) * ROUND(D15, D10), D10) &amp; " kN")</f>
        <v/>
      </c>
    </row>
    <row r="23" spans="2:8" x14ac:dyDescent="0.2">
      <c r="C23" s="49" t="s">
        <v>95</v>
      </c>
      <c r="D23" s="123">
        <f>VLOOKUP(D4,'Durchlaufende Träger'!$A$2:$G$8,7,FALSE) * D15</f>
        <v>0</v>
      </c>
      <c r="E23" s="37" t="s">
        <v>24</v>
      </c>
      <c r="F23" s="45" t="str">
        <f>IF(D23=0, "", VLOOKUP(D4, 'Durchlaufende Träger'!$A$2:$G$8, 7, FALSE) &amp; " * " &amp; ROUND(D15, D10) &amp; " kN = " &amp; ROUND(VLOOKUP(D4, 'Durchlaufende Träger'!$A$2:$G$8, 7, FALSE) * ROUND(D15, D10), D10) &amp; " kN")</f>
        <v/>
      </c>
    </row>
    <row r="24" spans="2:8" x14ac:dyDescent="0.2">
      <c r="C24" s="50" t="s">
        <v>96</v>
      </c>
      <c r="D24" s="123">
        <f>VLOOKUP(D4,'Durchlaufende Träger'!$A$2:$H$8,8,FALSE) * D15</f>
        <v>0</v>
      </c>
      <c r="E24" s="37" t="s">
        <v>24</v>
      </c>
      <c r="F24" s="45" t="str">
        <f>IF(D24=0, "", VLOOKUP(D4, 'Durchlaufende Träger'!$A$2:$H$8, 8, FALSE) &amp; " * " &amp; ROUND(D15, D10) &amp; " kN = " &amp; ROUND(VLOOKUP(D4, 'Durchlaufende Träger'!$A$2:$H$8, 8, FALSE) * ROUND(D15, D10), D10) &amp; " kN")</f>
        <v/>
      </c>
    </row>
    <row r="25" spans="2:8" ht="16" thickBot="1" x14ac:dyDescent="0.25">
      <c r="C25" s="51" t="s">
        <v>97</v>
      </c>
      <c r="D25" s="124">
        <f>VLOOKUP(D4,'Durchlaufende Träger'!$A$2:$I$8,9,FALSE) * D15</f>
        <v>0</v>
      </c>
      <c r="E25" s="40" t="s">
        <v>24</v>
      </c>
      <c r="F25" s="41" t="str">
        <f>IF(D25=0, "", VLOOKUP(D4, 'Durchlaufende Träger'!$A$2:$I$8, 9, FALSE) &amp; " * " &amp; ROUND(D15, D10) &amp; " kN = " &amp; ROUND(VLOOKUP(D4, 'Durchlaufende Träger'!$A$2:$I$8, 9, FALSE) * ROUND(D15, D10), D10) &amp; " kN")</f>
        <v/>
      </c>
    </row>
    <row r="26" spans="2:8" ht="16" thickBot="1" x14ac:dyDescent="0.25">
      <c r="G26" s="69"/>
      <c r="H26" s="69"/>
    </row>
    <row r="27" spans="2:8" ht="16" thickBot="1" x14ac:dyDescent="0.25">
      <c r="B27" s="120" t="s">
        <v>26</v>
      </c>
      <c r="C27" s="121"/>
      <c r="D27" s="32" t="s">
        <v>20</v>
      </c>
      <c r="E27" s="32" t="s">
        <v>4</v>
      </c>
      <c r="F27" s="33" t="s">
        <v>21</v>
      </c>
      <c r="G27" s="97">
        <f>VLOOKUP(D4,Tabelle1[],30,FALSE)</f>
        <v>5</v>
      </c>
      <c r="H27" s="69"/>
    </row>
    <row r="28" spans="2:8" x14ac:dyDescent="0.2">
      <c r="C28" s="101" t="str">
        <f>IF(D28="","",IF(D28=0,"Auflager 1, auf der Strecke",IF(D28&gt;0,"Auflager 1, unterhalb der Strecke","Auflager 1, oberhalb der Strecke")))</f>
        <v>Auflager 1, auf der Strecke</v>
      </c>
      <c r="D28" s="122" cm="1">
        <f t="array" ref="D28">IFERROR(IF(G28="", "", IF(ROW()-26 &lt; $G$27, G28, IF(ROW()-26 = $G$27, G28, IF(2 * $G$27 - (ROW()-26) &lt;= COUNT($G$28:$G$43), -INDEX($G$28:$G$43, 2 * $G$27 - (ROW()-26)), "")))), "")</f>
        <v>0</v>
      </c>
      <c r="E28" s="102" t="s">
        <v>24</v>
      </c>
      <c r="F28" s="23" t="s">
        <v>81</v>
      </c>
      <c r="G28" s="98">
        <v>0</v>
      </c>
      <c r="H28" s="69"/>
    </row>
    <row r="29" spans="2:8" x14ac:dyDescent="0.2">
      <c r="C29" s="103" t="str">
        <f>IF(D29="","",IF(D29=0,"Auflager 1, auf der Strecke",IF(D29&gt;0,"Auflager 1, unterhalb der Strecke","Auflager 1, oberhalb der Strecke")))</f>
        <v>Auflager 1, unterhalb der Strecke</v>
      </c>
      <c r="D29" s="85" cm="1">
        <f t="array" ref="D29">IFERROR(IF(G29="", "", IF(ROW()-26 &lt; $G$27, G29, IF(ROW()-26 = $G$27, G29, IF(2 * $G$27 - (ROW()-26) &lt;= COUNT($G$28:$G$43), -INDEX($G$28:$G$43, 2 * $G$27 - (ROW()-26)), "")))), "")</f>
        <v>338.31</v>
      </c>
      <c r="E29" s="52" t="s">
        <v>24</v>
      </c>
      <c r="F29" s="26" t="s">
        <v>73</v>
      </c>
      <c r="G29" s="98">
        <f>IF(D18=0,"",D18)</f>
        <v>338.31</v>
      </c>
      <c r="H29" s="69"/>
    </row>
    <row r="30" spans="2:8" x14ac:dyDescent="0.2">
      <c r="C30" s="104" t="str">
        <f>IF(D30="","",IF(D30=0,"Auflager 2, auf der Strecke",IF(D30&gt;0,"Auflager 2, unterhalb der Strecke","Auflager 2, oberhalb der Strecke")))</f>
        <v>Auflager 2, oberhalb der Strecke</v>
      </c>
      <c r="D30" s="86" cm="1">
        <f t="array" ref="D30">IFERROR(IF(G30="", "", IF(D29=0, "", IF(ROW()-26 &lt; $G$27, G30, IF(ROW()-26 = $G$27, G30, -INDEX($G$28:$G$43, 2 * $G$27 - (ROW()-26)))))), "")</f>
        <v>-507.46499999999997</v>
      </c>
      <c r="E30" s="52" t="s">
        <v>24</v>
      </c>
      <c r="F30" s="45" t="str">
        <f>IF(OR(D29=0, D29=""), "", ROUND(D29, D10) &amp; " kN - " &amp; ROUND($D$14, D10) &amp; " kN * " &amp; ROUND($D$5, D10) &amp; " = " &amp; ROUND(D30, D10) &amp; " kN")</f>
        <v>338.31 kN - 338.31 kN * 2.5 = -507.465 kN</v>
      </c>
      <c r="G30" s="98">
        <f>IF(OR(G29=0, G29=""), "", G29 - D14 * D5)</f>
        <v>-507.46499999999997</v>
      </c>
      <c r="H30" s="69"/>
    </row>
    <row r="31" spans="2:8" x14ac:dyDescent="0.2">
      <c r="C31" s="105" t="str">
        <f>IF(D31="","",IF(D31=0,"Auflager 2, auf der Strecke",IF(D31&gt;0,"Auflager 2, unterhalb der Strecke","Auflager 2, oberhalb der Strecke")))</f>
        <v>Auflager 2, unterhalb der Strecke</v>
      </c>
      <c r="D31" s="87" cm="1">
        <f t="array" ref="D31">IFERROR(IF(G31="", "", IF(D30=0, "", IF(ROW()-26 &lt; $G$27, G31, IF(ROW()-26 = $G$27, G31, -INDEX($G$28:$G$43, 2 * $G$27 - (ROW()-26)))))), "")</f>
        <v>422.8875000000001</v>
      </c>
      <c r="E31" s="52" t="s">
        <v>24</v>
      </c>
      <c r="F31" s="45" t="str">
        <f>IF(OR(D30=0, D30=""), "", ROUND(D19, D10) &amp; " kN + " &amp; ROUND(D30, D10) &amp; " kN = " &amp; ROUND(D31, D10) &amp; " kN")</f>
        <v>930.353 kN + -507.465 kN = 422.888 kN</v>
      </c>
      <c r="G31" s="98">
        <f>IF(OR(D19=0, D19=""), "", G30 + D19)</f>
        <v>422.8875000000001</v>
      </c>
      <c r="H31" s="69"/>
    </row>
    <row r="32" spans="2:8" x14ac:dyDescent="0.2">
      <c r="C32" s="106" t="str">
        <f>IF(D32="","",IF(D32=0,"Auflager 3, auf der Strecke",IF(D32&gt;0,"Auflager 3, unterhalb der Strecke","Auflager 3, oberhalb der Strecke")))</f>
        <v>Auflager 3, oberhalb der Strecke</v>
      </c>
      <c r="D32" s="87" cm="1">
        <f t="array" ref="D32">IFERROR(IF(G32="", "", IF(D31=0, "", IF(ROW()-26 &lt; $G$27, G32, IF(ROW()-26 = $G$27, G32, -INDEX($G$28:$G$43, 2 * $G$27 - (ROW()-26)))))), "")</f>
        <v>-422.8875000000001</v>
      </c>
      <c r="E32" s="52" t="s">
        <v>24</v>
      </c>
      <c r="F32" s="45" t="str">
        <f>IF(OR(D31=0, D31=""), "", ROUND(D31, D10) &amp; " kN - " &amp; ROUND($D$14, D10) &amp; " kN * " &amp; ROUND($D$5, D10) &amp; " = " &amp; ROUND(D32, D10) &amp; " kN")</f>
        <v>422.888 kN - 338.31 kN * 2.5 = -422.888 kN</v>
      </c>
      <c r="G32" s="98">
        <f>IF(OR(G31=0, G31=""), "", G31 - D14 * D5)</f>
        <v>-422.88749999999987</v>
      </c>
      <c r="H32" s="69"/>
    </row>
    <row r="33" spans="3:8" x14ac:dyDescent="0.2">
      <c r="C33" s="107" t="str">
        <f>IF(D33="","",IF(D33=0,"Auflager 3, auf der Strecke",IF(D33&gt;0,"Auflager 3, unterhalb der Strecke","Auflager 3, oberhalb der Strecke")))</f>
        <v>Auflager 3, unterhalb der Strecke</v>
      </c>
      <c r="D33" s="86" cm="1">
        <f t="array" ref="D33">IFERROR(IF(G33="", "", IF(D32=0, "", IF(ROW()-26 &lt; $G$27, G33, IF(ROW()-26 = $G$27, G33, -INDEX($G$28:$G$43, 2 * $G$27 - (ROW()-26)))))), "")</f>
        <v>507.46499999999997</v>
      </c>
      <c r="E33" s="52" t="s">
        <v>24</v>
      </c>
      <c r="F33" s="45" t="str">
        <f>IF(OR(D32=0, D32=""), "", ROUND(D32, D10) &amp; " kN + " &amp; ROUND(D20, D10) &amp; " kN = " &amp; ROUND(D33, D10) &amp; " kN")</f>
        <v>-422.888 kN + 930.353 kN = 507.465 kN</v>
      </c>
      <c r="G33" s="98">
        <f>IF(OR(D20=0, D20=""), "", G32 + D20)</f>
        <v>507.4650000000002</v>
      </c>
      <c r="H33" s="69"/>
    </row>
    <row r="34" spans="3:8" x14ac:dyDescent="0.2">
      <c r="C34" s="108" t="str">
        <f>IF(D34="","",IF(D34=0,"Auflager 4, auf der Strecke",IF(D34&gt;0,"Auflager 4, unterhalb der Strecke","Auflager 4, oberhalb der Strecke")))</f>
        <v>Auflager 4, oberhalb der Strecke</v>
      </c>
      <c r="D34" s="85" cm="1">
        <f t="array" ref="D34">IFERROR(IF(G34="", "", IF(D33=0, "", IF(ROW()-26 &lt; $G$27, G34, IF(ROW()-26 = $G$27, G34, -INDEX($G$28:$G$43, 2 * $G$27 - (ROW()-26)))))), "")</f>
        <v>-338.31</v>
      </c>
      <c r="E34" s="52" t="s">
        <v>24</v>
      </c>
      <c r="F34" s="45" t="str">
        <f>IF(OR(D33=0, D33=""), "", ROUND(D33, D10) &amp; " kN - " &amp; ROUND($D$14, D10) &amp; " kN * " &amp; ROUND($D$5, D10) &amp; " = " &amp; ROUND(D34, D10) &amp; " kN")</f>
        <v>507.465 kN - 338.31 kN * 2.5 = -338.31 kN</v>
      </c>
      <c r="G34" s="98">
        <f>IF(OR(G33=0, G33=""), "", G33 - D14 * D5)</f>
        <v>-338.30999999999977</v>
      </c>
      <c r="H34" s="69"/>
    </row>
    <row r="35" spans="3:8" x14ac:dyDescent="0.2">
      <c r="C35" s="109" t="str">
        <f>IF(D35="","",IF(D35=0,"Auflager 4, auf der Strecke",IF(D35&gt;0,"Auflager 4, unterhalb der Strecke","Auflager 4, oberhalb der Strecke")))</f>
        <v>Auflager 4, auf der Strecke</v>
      </c>
      <c r="D35" s="123" cm="1">
        <f t="array" ref="D35">IFERROR(IF(G35="", "", IF(D34=0, "", IF(ROW()-26 &lt; $G$27, G35, IF(ROW()-26 = $G$27, G35, -INDEX($G$28:$G$43, 2 * $G$27 - (ROW()-26)))))), "")</f>
        <v>0</v>
      </c>
      <c r="E35" s="52" t="s">
        <v>24</v>
      </c>
      <c r="F35" s="45" t="str">
        <f>IF(OR(D34=0, D34=""), "", ROUND(D34, D10) &amp; " kN + " &amp; ROUND(D21, D10) &amp; " kN = " &amp; ROUND(D35, D10) &amp; " kN")</f>
        <v>-338.31 kN + 338.31 kN = 0 kN</v>
      </c>
      <c r="G35" s="98">
        <f>IF(OR(D21=0, D21=""), "", G34 + D21)</f>
        <v>2.2737367544323206E-13</v>
      </c>
      <c r="H35" s="69"/>
    </row>
    <row r="36" spans="3:8" x14ac:dyDescent="0.2">
      <c r="C36" s="110" t="str">
        <f>IF(D36="","",IF(D36=0,"Auflager 5, auf der Strecke",IF(D36&gt;0,"Auflager 5, unterhalb der Strecke","Auflager 5, oberhalb der Strecke")))</f>
        <v/>
      </c>
      <c r="D36" s="123" t="str" cm="1">
        <f t="array" ref="D36">IFERROR(IF(G36="", "", IF(D35=0, "", IF(ROW()-26 &lt; $G$27, G36, IF(ROW()-26 = $G$27, G36, -INDEX($G$28:$G$43, 2 * $G$27 - (ROW()-26)))))), "")</f>
        <v/>
      </c>
      <c r="E36" s="52" t="s">
        <v>24</v>
      </c>
      <c r="F36" s="45" t="str">
        <f>IF(OR(D35=0, D35=""), "", ROUND(D35, D10) &amp; " kN - " &amp; ROUND(D14, D10) &amp; " kN * " &amp; ROUND(D5, D10) &amp; " = " &amp; ROUND(D36, D10) &amp; " kN")</f>
        <v/>
      </c>
      <c r="G36" s="98">
        <f>IF(OR(G35=0, G35=""), "", G35 - D14 * D5)</f>
        <v>-845.77499999999975</v>
      </c>
      <c r="H36" s="69"/>
    </row>
    <row r="37" spans="3:8" x14ac:dyDescent="0.2">
      <c r="C37" s="111" t="str">
        <f>IF(D37="","",IF(D37=0,"Auflager 5, auf der Strecke",IF(D37&gt;0,"Auflager 5, unterhalb der Strecke","Auflager 5, oberhalb der Strecke")))</f>
        <v/>
      </c>
      <c r="D37" s="123" t="str" cm="1">
        <f t="array" ref="D37">IFERROR(IF(G37="", "", IF(D36=0, "", IF(ROW()-26 &lt; $G$27, G37, IF(ROW()-26 = $G$27, G37, -INDEX($G$28:$G$43, 2 * $G$27 - (ROW()-26)))))), "")</f>
        <v/>
      </c>
      <c r="E37" s="52" t="s">
        <v>24</v>
      </c>
      <c r="F37" s="45" t="str">
        <f>IF(OR(D36=0, D36=""), "", ROUND(D36, D10) &amp; " kN + " &amp; ROUND(D22, D10) &amp; " kN = " &amp; ROUND(D37, D10) &amp; " kN")</f>
        <v/>
      </c>
      <c r="G37" s="98" t="str">
        <f>IF(OR(D22=0, D22=""), "", G36 + D22)</f>
        <v/>
      </c>
      <c r="H37" s="69"/>
    </row>
    <row r="38" spans="3:8" x14ac:dyDescent="0.2">
      <c r="C38" s="112" t="str">
        <f>IF(D38="","",IF(D38=0,"Auflager 6, auf der Strecke",IF(D38&gt;0,"Auflager 6, unterhalb der Strecke","Auflager 6, oberhalb der Strecke")))</f>
        <v/>
      </c>
      <c r="D38" s="123" t="str" cm="1">
        <f t="array" ref="D38">IFERROR(IF(G38="", "", IF(D37=0, "", IF(ROW()-26 &lt; $G$27, G38, IF(ROW()-26 = $G$27, G38, -INDEX($G$28:$G$43, 2 * $G$27 - (ROW()-26)))))), "")</f>
        <v/>
      </c>
      <c r="E38" s="52" t="s">
        <v>24</v>
      </c>
      <c r="F38" s="45" t="str">
        <f>IF(OR(D37=0, D37=""), "", ROUND(D37, D10) &amp; " kN - " &amp; ROUND($D$14, D10) &amp; " kN * " &amp; ROUND($D$5, D10) &amp; " = " &amp; ROUND(D38, D10) &amp; " kN")</f>
        <v/>
      </c>
      <c r="G38" s="98" t="str">
        <f>IF(OR(G37=0, G37=""), "", G37 - D14 * D5)</f>
        <v/>
      </c>
      <c r="H38" s="69"/>
    </row>
    <row r="39" spans="3:8" x14ac:dyDescent="0.2">
      <c r="C39" s="113" t="str">
        <f>IF(D39="","",IF(D39=0,"Auflager 6, auf der Strecke",IF(D39&gt;0,"Auflager 6, unterhalb der Strecke","Auflager 6, oberhalb der Strecke")))</f>
        <v/>
      </c>
      <c r="D39" s="123" t="str" cm="1">
        <f t="array" ref="D39">IFERROR(IF(G39="", "", IF(D38=0, "", IF(ROW()-26 &lt; $G$27, G39, IF(ROW()-26 = $G$27, G39, -INDEX($G$28:$G$43, 2 * $G$27 - (ROW()-26)))))), "")</f>
        <v/>
      </c>
      <c r="E39" s="52" t="s">
        <v>24</v>
      </c>
      <c r="F39" s="45" t="str">
        <f>IF(OR(D38=0, D38=""), "", ROUND(D38, D10) &amp; " kN + " &amp; ROUND(D23, D10) &amp; " kN = " &amp; ROUND(D39, D10) &amp; " kN")</f>
        <v/>
      </c>
      <c r="G39" s="98" t="str">
        <f>IF(OR(D23=0, D23=""), "", G38 + D23)</f>
        <v/>
      </c>
      <c r="H39" s="69"/>
    </row>
    <row r="40" spans="3:8" x14ac:dyDescent="0.2">
      <c r="C40" s="114" t="str">
        <f>IF(D40="","",IF(D40=0,"Auflager 7, auf der Strecke",IF(D40&gt;0,"Auflager 7, unterhalb der Strecke","Auflager 7, oberhalb der Strecke")))</f>
        <v/>
      </c>
      <c r="D40" s="123" t="str" cm="1">
        <f t="array" ref="D40">IFERROR(IF(G40="", "", IF(D39=0, "", IF(ROW()-26 &lt; $G$27, G40, IF(ROW()-26 = $G$27, G40, -INDEX($G$28:$G$43, 2 * $G$27 - (ROW()-26)))))), "")</f>
        <v/>
      </c>
      <c r="E40" s="52" t="s">
        <v>24</v>
      </c>
      <c r="F40" s="45" t="str">
        <f>IF(OR(D39=0, D39=""), "", ROUND(D39, D10) &amp; " kN - " &amp; ROUND($D$14, D10) &amp; " kN * " &amp; ROUND($D$5, D10) &amp; " = " &amp; ROUND(D40, D10) &amp; " kN")</f>
        <v/>
      </c>
      <c r="G40" s="98" t="str">
        <f>IF(OR(G39=0, G39=""), "", G39 - D14 * D5)</f>
        <v/>
      </c>
      <c r="H40" s="69"/>
    </row>
    <row r="41" spans="3:8" x14ac:dyDescent="0.2">
      <c r="C41" s="115" t="str">
        <f>IF(D41="","",IF(D41=0,"Auflager 7, auf der Strecke",IF(D41&gt;0,"Auflager 7, unterhalb der Strecke","Auflager 7, oberhalb der Strecke")))</f>
        <v/>
      </c>
      <c r="D41" s="123" t="str" cm="1">
        <f t="array" ref="D41">IFERROR(IF(G41="", "", IF(D40=0, "", IF(ROW()-26 &lt; $G$27, G41, IF(ROW()-26 = $G$27, G41, -INDEX($G$28:$G$43, 2 * $G$27 - (ROW()-26)))))), "")</f>
        <v/>
      </c>
      <c r="E41" s="52" t="s">
        <v>24</v>
      </c>
      <c r="F41" s="45" t="str">
        <f>IF(OR(D40=0, D40=""), "", ROUND(D40, D10) &amp; " kN + " &amp; ROUND(D24, D10) &amp; " kN = " &amp; ROUND(D41, D10) &amp; " kN")</f>
        <v/>
      </c>
      <c r="G41" s="98" t="str">
        <f>IF(OR(D24=0, D24=""), "", G40 + D24)</f>
        <v/>
      </c>
      <c r="H41" s="69"/>
    </row>
    <row r="42" spans="3:8" x14ac:dyDescent="0.2">
      <c r="C42" s="53" t="str">
        <f>IF(D42="","",IF(D42=0,"Auflager 8, auf der Strecke",IF(D42&gt;0,"Auflager 8, unterhalb der Strecke","Auflager 8, oberhalb der Strecke")))</f>
        <v/>
      </c>
      <c r="D42" s="123" t="str" cm="1">
        <f t="array" ref="D42">IFERROR(IF(G42="", "", IF(D41=0, "", IF(ROW()-26 &lt; $G$27, G42, IF(ROW()-26 = $G$27, G42, -INDEX($G$28:$G$43, 2 * $G$27 - (ROW()-26)))))), "")</f>
        <v/>
      </c>
      <c r="E42" s="52" t="s">
        <v>24</v>
      </c>
      <c r="F42" s="45" t="str">
        <f>IF(OR(D41=0, D41=""), "", ROUND(G41, D10) &amp; " kN - " &amp; ROUND($D$14, D10) &amp; " kN * " &amp; ROUND($D$5, D10) &amp; " = " &amp; ROUND(D42, D10) &amp; " kN")</f>
        <v/>
      </c>
      <c r="G42" s="98" t="str">
        <f>IF(OR(G41=0, G41=""), "", G41 - D14 * D5)</f>
        <v/>
      </c>
      <c r="H42" s="69"/>
    </row>
    <row r="43" spans="3:8" ht="16" thickBot="1" x14ac:dyDescent="0.25">
      <c r="C43" s="51" t="str">
        <f>IF(D43="","",IF(D43=0,"Auflager 8, auf der Strecke",IF(D43&gt;0,"Auflager 8, unterhalb der Strecke","Auflager 8, oberhalb der Strecke")))</f>
        <v/>
      </c>
      <c r="D43" s="124" t="str" cm="1">
        <f t="array" ref="D43">IFERROR(IF(G43="", "", IF(D42=0, "", IF(ROW()-26 &lt; $G$27, G43, IF(ROW()-26 = $G$27, G43, -INDEX($G$28:$G$43, 2 * $G$27 - (ROW()-26)))))), "")</f>
        <v/>
      </c>
      <c r="E43" s="54" t="s">
        <v>24</v>
      </c>
      <c r="F43" s="41" t="str">
        <f>IF(OR(D25=0, D25=""), "", ROUND(G42, D10) &amp; " kN + " &amp; ROUND(D25, D10) &amp; " kN = " &amp; ROUND(D43, D10) &amp; " kN")</f>
        <v/>
      </c>
      <c r="G43" s="98" t="str">
        <f>IF(OR(D25=0, D25=""), "", G42 + D25)</f>
        <v/>
      </c>
      <c r="H43" s="69"/>
    </row>
    <row r="44" spans="3:8" ht="16" thickBot="1" x14ac:dyDescent="0.25">
      <c r="C44" s="55" t="s">
        <v>27</v>
      </c>
      <c r="D44" s="56" cm="1">
        <f t="array" ref="D44">_xlfn.AGGREGATE(14, 6, ABS(ROUND(D28:D43, D10)), 1)</f>
        <v>507.46499999999997</v>
      </c>
      <c r="E44" s="57" t="s">
        <v>24</v>
      </c>
      <c r="F44" s="58"/>
      <c r="G44" s="98"/>
      <c r="H44" s="69"/>
    </row>
    <row r="45" spans="3:8" x14ac:dyDescent="0.2">
      <c r="C45" s="59"/>
      <c r="D45" s="60"/>
      <c r="E45" s="61"/>
      <c r="F45" s="62"/>
      <c r="G45" s="69"/>
      <c r="H45" s="69"/>
    </row>
    <row r="46" spans="3:8" x14ac:dyDescent="0.2">
      <c r="C46" s="63"/>
      <c r="D46" s="64"/>
      <c r="F46" s="38"/>
      <c r="H46" s="69"/>
    </row>
    <row r="47" spans="3:8" x14ac:dyDescent="0.2">
      <c r="C47" s="63"/>
      <c r="D47" s="64"/>
      <c r="F47" s="38"/>
    </row>
    <row r="48" spans="3:8" x14ac:dyDescent="0.2">
      <c r="C48" s="63"/>
      <c r="D48" s="64"/>
      <c r="F48" s="38"/>
    </row>
    <row r="49" spans="2:14" x14ac:dyDescent="0.2">
      <c r="C49" s="63"/>
      <c r="D49" s="65"/>
      <c r="F49" s="38"/>
    </row>
    <row r="50" spans="2:14" x14ac:dyDescent="0.2">
      <c r="C50" s="63"/>
      <c r="D50" s="65"/>
      <c r="F50" s="38"/>
    </row>
    <row r="51" spans="2:14" x14ac:dyDescent="0.2">
      <c r="C51" s="63"/>
      <c r="D51" s="65"/>
      <c r="F51" s="38"/>
    </row>
    <row r="52" spans="2:14" x14ac:dyDescent="0.2">
      <c r="C52" s="63"/>
      <c r="D52" s="65"/>
      <c r="F52" s="38"/>
    </row>
    <row r="53" spans="2:14" x14ac:dyDescent="0.2">
      <c r="C53" s="63"/>
      <c r="D53" s="65"/>
      <c r="F53" s="38"/>
    </row>
    <row r="54" spans="2:14" x14ac:dyDescent="0.2">
      <c r="C54" s="63"/>
      <c r="D54" s="65"/>
      <c r="F54" s="38"/>
    </row>
    <row r="55" spans="2:14" x14ac:dyDescent="0.2">
      <c r="C55" s="63"/>
      <c r="D55" s="65"/>
      <c r="F55" s="38"/>
    </row>
    <row r="56" spans="2:14" x14ac:dyDescent="0.2">
      <c r="C56" s="63"/>
      <c r="D56" s="65"/>
      <c r="F56" s="38"/>
    </row>
    <row r="57" spans="2:14" x14ac:dyDescent="0.2">
      <c r="C57" s="63"/>
      <c r="D57" s="65"/>
      <c r="F57" s="38"/>
    </row>
    <row r="58" spans="2:14" x14ac:dyDescent="0.2">
      <c r="C58" s="63"/>
      <c r="D58" s="65"/>
      <c r="F58" s="38"/>
    </row>
    <row r="59" spans="2:14" x14ac:dyDescent="0.2">
      <c r="C59" s="63"/>
      <c r="D59" s="65"/>
      <c r="F59" s="38"/>
    </row>
    <row r="60" spans="2:14" x14ac:dyDescent="0.2">
      <c r="C60" s="63"/>
      <c r="D60" s="65"/>
      <c r="F60" s="38"/>
    </row>
    <row r="61" spans="2:14" x14ac:dyDescent="0.2">
      <c r="C61" s="63"/>
      <c r="D61" s="65"/>
      <c r="F61" s="38"/>
    </row>
    <row r="62" spans="2:14" ht="16" thickBot="1" x14ac:dyDescent="0.25">
      <c r="C62" s="66"/>
      <c r="D62" s="67"/>
      <c r="E62" s="30"/>
      <c r="F62" s="68"/>
    </row>
    <row r="63" spans="2:14" ht="16" thickBot="1" x14ac:dyDescent="0.25"/>
    <row r="64" spans="2:14" ht="16" thickBot="1" x14ac:dyDescent="0.25">
      <c r="B64" s="120" t="s">
        <v>82</v>
      </c>
      <c r="C64" s="121"/>
      <c r="D64" s="32" t="s">
        <v>20</v>
      </c>
      <c r="E64" s="32" t="s">
        <v>4</v>
      </c>
      <c r="F64" s="33" t="s">
        <v>21</v>
      </c>
      <c r="G64" s="69"/>
      <c r="H64" s="69"/>
      <c r="I64" s="69"/>
      <c r="J64" s="69"/>
      <c r="K64" s="69"/>
      <c r="L64" s="69"/>
      <c r="M64" s="69"/>
      <c r="N64" s="69"/>
    </row>
    <row r="65" spans="3:14" x14ac:dyDescent="0.2">
      <c r="C65" s="24" t="s">
        <v>74</v>
      </c>
      <c r="D65" s="128" cm="1">
        <f t="array" ref="D65:D67">_xlfn._xlws.FILTER(G65:G71, G65:G71&lt;&gt;0)</f>
        <v>169.155</v>
      </c>
      <c r="E65" s="35" t="s">
        <v>29</v>
      </c>
      <c r="F65" s="45" t="str" cm="1">
        <f t="array" ref="F65:F67">_xlfn._xlws.FILTER(H65:H71, H65:H71&lt;&gt;"")</f>
        <v>0.08 * 338.31 kN * 2.5² = 169.155 kN</v>
      </c>
      <c r="G65" s="69">
        <f>VLOOKUP(D4, 'Durchlaufende Träger'!$A$2:$AA$7, 10, FALSE) * D14 * D5^2</f>
        <v>169.155</v>
      </c>
      <c r="H65" s="69" t="str">
        <f>IF(G65=0, "", VLOOKUP(D4, 'Durchlaufende Träger'!$A$2:$AA$7, 10, FALSE) &amp; " * " &amp; ROUND(D14, D10) &amp; " kN * " &amp; ROUND(D5, D10) &amp; "² = " &amp; ROUND(VLOOKUP(D4, 'Durchlaufende Träger'!$A$2:$AA$7, 10, FALSE) * ROUND(D14, D10) * ROUND(D5^2, D10), D10) &amp; " kN")</f>
        <v>0.08 * 338.31 kN * 2.5² = 169.155 kN</v>
      </c>
      <c r="I65" s="69"/>
      <c r="J65" s="69"/>
      <c r="K65" s="69"/>
      <c r="L65" s="69"/>
      <c r="M65" s="69"/>
      <c r="N65" s="69"/>
    </row>
    <row r="66" spans="3:14" x14ac:dyDescent="0.2">
      <c r="C66" s="70" t="s">
        <v>75</v>
      </c>
      <c r="D66" s="123">
        <v>52.860937500000006</v>
      </c>
      <c r="E66" s="37" t="s">
        <v>29</v>
      </c>
      <c r="F66" s="45" t="str">
        <v>0.025 * 338.31 kN * 2.5² = 52.861 kN</v>
      </c>
      <c r="G66" s="69">
        <f>VLOOKUP(D4, 'Durchlaufende Träger'!$A$2:$AA$7, 11, FALSE) * D14 * D5^2</f>
        <v>52.860937500000006</v>
      </c>
      <c r="H66" s="69" t="str">
        <f>IF(G66=0, "", VLOOKUP(D4, 'Durchlaufende Träger'!$A$2:$AA$7, 11, FALSE) &amp; " * " &amp; ROUND(D14, D10) &amp; " kN * " &amp; ROUND(D5, D10) &amp; "² = " &amp; ROUND(VLOOKUP(D4, 'Durchlaufende Träger'!$A$2:$AA$7, 11, FALSE) * ROUND(D14, D10) * ROUND(D5^2, D10), D10) &amp; " kN")</f>
        <v>0.025 * 338.31 kN * 2.5² = 52.861 kN</v>
      </c>
      <c r="I66" s="69"/>
      <c r="J66" s="69"/>
      <c r="K66" s="69"/>
      <c r="L66" s="69"/>
      <c r="M66" s="69"/>
      <c r="N66" s="69"/>
    </row>
    <row r="67" spans="3:14" x14ac:dyDescent="0.2">
      <c r="C67" s="70" t="s">
        <v>76</v>
      </c>
      <c r="D67" s="125">
        <v>169.155</v>
      </c>
      <c r="E67" s="37" t="s">
        <v>29</v>
      </c>
      <c r="F67" s="45" t="str">
        <v>0.08 * 338.31 kN * 2.5² = 169.155 kN</v>
      </c>
      <c r="G67" s="69">
        <f>VLOOKUP(D4, 'Durchlaufende Träger'!$A$2:$AA$7, 12, FALSE) * D14 * D5^2</f>
        <v>169.155</v>
      </c>
      <c r="H67" s="69" t="str">
        <f>IF(G67=0, "", VLOOKUP(D4, 'Durchlaufende Träger'!$A$2:$AA$7, 12, FALSE) &amp; " * " &amp; ROUND(D14, D10) &amp; " kN * " &amp; ROUND(D5, D10) &amp; "² = " &amp; ROUND(VLOOKUP(D4, 'Durchlaufende Träger'!$A$2:$AA$7, 12, FALSE) * ROUND(D14, D10) * ROUND(D5^2, D10), D10) &amp; " kN")</f>
        <v>0.08 * 338.31 kN * 2.5² = 169.155 kN</v>
      </c>
      <c r="I67" s="69"/>
      <c r="J67" s="69"/>
      <c r="K67" s="69"/>
      <c r="L67" s="69"/>
      <c r="M67" s="69"/>
      <c r="N67" s="69"/>
    </row>
    <row r="68" spans="3:14" x14ac:dyDescent="0.2">
      <c r="C68" s="70" t="s">
        <v>77</v>
      </c>
      <c r="D68" s="123"/>
      <c r="E68" s="37" t="s">
        <v>29</v>
      </c>
      <c r="F68" s="45"/>
      <c r="G68" s="69">
        <f>VLOOKUP(D4, 'Durchlaufende Träger'!$A$2:$AA$7, 13, FALSE) * D14 * D5^2</f>
        <v>0</v>
      </c>
      <c r="H68" s="69" t="str">
        <f>IF(G68=0, "", VLOOKUP(D4, 'Durchlaufende Träger'!$A$2:$AA$7, 13, FALSE) &amp; " * " &amp; ROUND(D14, D10) &amp; " kN * " &amp; ROUND(D5, D10) &amp; "² = " &amp; ROUND(VLOOKUP(D4, 'Durchlaufende Träger'!$A$2:$AA$7, 13, FALSE) * ROUND(D14, D10) * ROUND(D5^2, D10), D10) &amp; " kN")</f>
        <v/>
      </c>
      <c r="I68" s="69"/>
      <c r="J68" s="69"/>
      <c r="K68" s="69"/>
      <c r="L68" s="69"/>
      <c r="M68" s="69"/>
      <c r="N68" s="69"/>
    </row>
    <row r="69" spans="3:14" x14ac:dyDescent="0.2">
      <c r="C69" s="70" t="s">
        <v>78</v>
      </c>
      <c r="D69" s="123"/>
      <c r="E69" s="37" t="s">
        <v>29</v>
      </c>
      <c r="F69" s="45"/>
      <c r="G69" s="69">
        <f>VLOOKUP(D4, 'Durchlaufende Träger'!$A$2:$AA$7, 14, FALSE) * D14 * D5^2</f>
        <v>0</v>
      </c>
      <c r="H69" s="69" t="str">
        <f>IF(G69=0, "", VLOOKUP(D4, 'Durchlaufende Träger'!$A$2:$AA$7, 14, FALSE) &amp; " * " &amp; ROUND(D14, D10) &amp; " kN * " &amp; ROUND(D5, D10) &amp; "² = " &amp; ROUND(VLOOKUP(D4, 'Durchlaufende Träger'!$A$2:$AA$7, 14, FALSE) * ROUND(D14, D10) * ROUND(D5^2, D10), D10) &amp; " kN")</f>
        <v/>
      </c>
      <c r="I69" s="69"/>
      <c r="J69" s="69"/>
      <c r="K69" s="69"/>
      <c r="L69" s="69"/>
      <c r="M69" s="69"/>
      <c r="N69" s="69"/>
    </row>
    <row r="70" spans="3:14" x14ac:dyDescent="0.2">
      <c r="C70" s="70" t="s">
        <v>79</v>
      </c>
      <c r="D70" s="123"/>
      <c r="E70" s="37" t="s">
        <v>29</v>
      </c>
      <c r="F70" s="45"/>
      <c r="G70" s="69">
        <f>VLOOKUP(D4, 'Durchlaufende Träger'!$A$2:$AA$7, 15, FALSE) * D14 * D5^2</f>
        <v>0</v>
      </c>
      <c r="H70" s="69" t="str">
        <f>IF(G70=0, "", VLOOKUP(D4, 'Durchlaufende Träger'!$A$2:$AA$7, 15, FALSE) &amp; " * " &amp; ROUND(D14, D10) &amp; " kN * " &amp; ROUND(D5, D10) &amp; "² = " &amp; ROUND(VLOOKUP(D4, 'Durchlaufende Träger'!$A$2:$AA$7, 15, FALSE) * ROUND(D14, D10) * ROUND(D5^2, D10), D10) &amp; " kN")</f>
        <v/>
      </c>
      <c r="I70" s="69"/>
      <c r="J70" s="69"/>
      <c r="K70" s="69"/>
      <c r="L70" s="69"/>
      <c r="M70" s="69"/>
      <c r="N70" s="69"/>
    </row>
    <row r="71" spans="3:14" x14ac:dyDescent="0.2">
      <c r="C71" s="70" t="s">
        <v>80</v>
      </c>
      <c r="D71" s="123"/>
      <c r="E71" s="37" t="s">
        <v>29</v>
      </c>
      <c r="F71" s="71"/>
      <c r="G71" s="69">
        <f>VLOOKUP(D4, 'Durchlaufende Träger'!$A$2:$AA$7, 16, FALSE) * D14 * D5^2</f>
        <v>0</v>
      </c>
      <c r="H71" s="69" t="str">
        <f>IF(G71=0, "", VLOOKUP(D4, 'Durchlaufende Träger'!$A$2:$AA$7, 16, FALSE) &amp; " * " &amp; ROUND(D14, D10) &amp; " kN * " &amp; ROUND(D5, D10) &amp; "² = " &amp; ROUND(VLOOKUP(D4, 'Durchlaufende Träger'!$A$2:$AA$7, 16, FALSE) * ROUND(D14, D10) * ROUND(D5^2, D10), D10) &amp; " kN")</f>
        <v/>
      </c>
      <c r="I71" s="69"/>
      <c r="J71" s="69"/>
      <c r="K71" s="69"/>
      <c r="L71" s="69"/>
      <c r="M71" s="69"/>
      <c r="N71" s="69"/>
    </row>
    <row r="72" spans="3:14" x14ac:dyDescent="0.2">
      <c r="C72" s="91" t="s">
        <v>98</v>
      </c>
      <c r="D72" s="129" cm="1">
        <f t="array" ref="D72:D73">_xlfn._xlws.FILTER(G72:G77, G72:G77&lt;&gt;0)</f>
        <v>-211.44375000000002</v>
      </c>
      <c r="E72" s="72" t="s">
        <v>29</v>
      </c>
      <c r="F72" s="73" t="str" cm="1">
        <f t="array" ref="F72:F73">_xlfn._xlws.FILTER(H72:H77, H72:H77&lt;&gt;"")</f>
        <v>-0.1 * 338.31 kN * 2.5² = -211.444 kN</v>
      </c>
      <c r="G72" s="69">
        <f>VLOOKUP($D$4, 'Durchlaufende Träger'!$A$2:$AA$7, 17, FALSE) * $D$14 * $D$5^2</f>
        <v>-211.44375000000002</v>
      </c>
      <c r="H72" s="69" t="str">
        <f>IF(G72=D155, "", VLOOKUP($D$4, 'Durchlaufende Träger'!$A$2:$AA$7, 17, FALSE) &amp; " * " &amp; ROUND($D$14, D10) &amp; " kN * " &amp; ROUND($D$5, D10) &amp; "² = " &amp; ROUND(VLOOKUP($D$4, 'Durchlaufende Träger'!$A$2:$AA$7, 17, FALSE) * ROUND($D$14, D10) * ROUND($D$5^2, D10), D10) &amp; " kN")</f>
        <v>-0.1 * 338.31 kN * 2.5² = -211.444 kN</v>
      </c>
      <c r="I72" s="69"/>
      <c r="J72" s="69"/>
      <c r="K72" s="69"/>
      <c r="L72" s="69"/>
      <c r="M72" s="69"/>
      <c r="N72" s="69"/>
    </row>
    <row r="73" spans="3:14" x14ac:dyDescent="0.2">
      <c r="C73" s="46" t="s">
        <v>99</v>
      </c>
      <c r="D73" s="86">
        <v>-211.44375000000002</v>
      </c>
      <c r="E73" s="37" t="s">
        <v>29</v>
      </c>
      <c r="F73" s="45" t="str">
        <v>-0.1 * 338.31 kN * 2.5² = -211.444 kN</v>
      </c>
      <c r="G73" s="69">
        <f>VLOOKUP($D$4, 'Durchlaufende Träger'!$A$2:$AA$7, 18, FALSE) * $D$14 * $D$5^2</f>
        <v>-211.44375000000002</v>
      </c>
      <c r="H73" s="69" t="str">
        <f>IF(G73=0, "", VLOOKUP($D$4, 'Durchlaufende Träger'!$A$2:$AA$7, 18, FALSE) &amp; " * " &amp; ROUND($D$14, D10) &amp; " kN * " &amp; ROUND($D$5, D10) &amp; "² = " &amp; ROUND(VLOOKUP($D$4, 'Durchlaufende Träger'!$A$2:$AA$7, 18, FALSE) * ROUND($D$14, D10) * ROUND($D$5^2, D10), D10) &amp; " kN")</f>
        <v>-0.1 * 338.31 kN * 2.5² = -211.444 kN</v>
      </c>
      <c r="I73" s="69"/>
      <c r="J73" s="69"/>
      <c r="K73" s="69"/>
      <c r="L73" s="69"/>
      <c r="M73" s="69"/>
      <c r="N73" s="69"/>
    </row>
    <row r="74" spans="3:14" x14ac:dyDescent="0.2">
      <c r="C74" s="47" t="s">
        <v>100</v>
      </c>
      <c r="D74" s="123"/>
      <c r="E74" s="37" t="s">
        <v>29</v>
      </c>
      <c r="F74" s="45"/>
      <c r="G74" s="69">
        <f>VLOOKUP($D$4, 'Durchlaufende Träger'!$A$2:$AA$7, 19, FALSE) * $D$14 * $D$5^2</f>
        <v>0</v>
      </c>
      <c r="H74" s="69" t="str">
        <f>IF(G74=0, "", VLOOKUP($D$4, 'Durchlaufende Träger'!$A$2:$AA$7, 19, FALSE) &amp; " * " &amp; ROUND($D$14, D10) &amp; " kN * " &amp; ROUND($D$5, D10) &amp; "² = " &amp; ROUND(VLOOKUP($D$4, 'Durchlaufende Träger'!$A$2:$AA$7, 19, FALSE) * ROUND($D$14, D10) * ROUND($D$5^2, D10), D10) &amp; " kN")</f>
        <v/>
      </c>
      <c r="I74" s="69"/>
      <c r="J74" s="69"/>
      <c r="K74" s="69"/>
      <c r="L74" s="69"/>
      <c r="M74" s="69"/>
      <c r="N74" s="69"/>
    </row>
    <row r="75" spans="3:14" x14ac:dyDescent="0.2">
      <c r="C75" s="48" t="s">
        <v>101</v>
      </c>
      <c r="D75" s="123"/>
      <c r="E75" s="37" t="s">
        <v>29</v>
      </c>
      <c r="F75" s="45"/>
      <c r="G75" s="69">
        <f>VLOOKUP($D$4, 'Durchlaufende Träger'!$A$2:$AA$7, 20, FALSE) * $D$14 * $D$5^2</f>
        <v>0</v>
      </c>
      <c r="H75" s="69" t="str">
        <f>IF(G75=0, "", VLOOKUP($D$4, 'Durchlaufende Träger'!$A$2:$AA$7, 20, FALSE) &amp; " * " &amp; ROUND($D$14, D10) &amp; " kN * " &amp; ROUND($D$5, D10) &amp; "² = " &amp; ROUND(VLOOKUP($D$4, 'Durchlaufende Träger'!$A$2:$AA$7, 20, FALSE) * ROUND($D$14, D10) * ROUND($D$5^2, D10), D10) &amp; " kN")</f>
        <v/>
      </c>
      <c r="I75" s="69"/>
      <c r="J75" s="69"/>
      <c r="K75" s="69"/>
      <c r="L75" s="69"/>
      <c r="M75" s="69"/>
      <c r="N75" s="69"/>
    </row>
    <row r="76" spans="3:14" x14ac:dyDescent="0.2">
      <c r="C76" s="49" t="s">
        <v>102</v>
      </c>
      <c r="D76" s="123"/>
      <c r="E76" s="37" t="s">
        <v>29</v>
      </c>
      <c r="F76" s="45"/>
      <c r="G76" s="69">
        <f>VLOOKUP($D$4, 'Durchlaufende Träger'!$A$2:$AA$7, 21, FALSE) * $D$14 * $D$5^2</f>
        <v>0</v>
      </c>
      <c r="H76" s="69" t="str">
        <f>IF(G76=0, "", VLOOKUP($D$4, 'Durchlaufende Träger'!$A$2:$AA$7, 21, FALSE) &amp; " * " &amp; ROUND($D$14, D10) &amp; " kN * " &amp; ROUND($D$5, D10) &amp; "² = " &amp; ROUND(VLOOKUP($D$4, 'Durchlaufende Träger'!$A$2:$AA$7, 21, FALSE) * ROUND($D$14, D10) * ROUND($D$5^2, D10), D10) &amp; " kN")</f>
        <v/>
      </c>
      <c r="I76" s="69"/>
      <c r="J76" s="69"/>
      <c r="K76" s="69"/>
      <c r="L76" s="69"/>
      <c r="M76" s="69"/>
      <c r="N76" s="69"/>
    </row>
    <row r="77" spans="3:14" ht="16" thickBot="1" x14ac:dyDescent="0.25">
      <c r="C77" s="50" t="s">
        <v>103</v>
      </c>
      <c r="D77" s="124"/>
      <c r="E77" s="40" t="s">
        <v>29</v>
      </c>
      <c r="F77" s="41"/>
      <c r="G77" s="69">
        <f>VLOOKUP($D$4, 'Durchlaufende Träger'!$A$2:$AA$7, 22, FALSE) * $D$14 * $D$5^2</f>
        <v>0</v>
      </c>
      <c r="H77" s="69" t="str">
        <f>IF(G77=0, "", VLOOKUP($D$4, 'Durchlaufende Träger'!$A$2:$AA$7, 22, FALSE) &amp; " * " &amp; ROUND($D$14, D10) &amp; " kN * " &amp; ROUND($D$5, D10) &amp; "² = " &amp; ROUND(VLOOKUP($D$4, 'Durchlaufende Träger'!$A$2:$AA$7, 22, FALSE) * ROUND($D$14, D10) * ROUND($D$5^2, D10), D10) &amp; " kN")</f>
        <v/>
      </c>
      <c r="I77" s="69"/>
      <c r="J77" s="69"/>
      <c r="K77" s="69"/>
      <c r="L77" s="69"/>
      <c r="M77" s="69"/>
      <c r="N77" s="69"/>
    </row>
    <row r="78" spans="3:14" ht="16" thickBot="1" x14ac:dyDescent="0.25">
      <c r="C78" s="55" t="s">
        <v>32</v>
      </c>
      <c r="D78" s="56" cm="1">
        <f t="array" ref="D78">_xlfn.AGGREGATE(14, 6, ABS(ROUND(D65:D77, D10)), 1)</f>
        <v>211.44399999999999</v>
      </c>
      <c r="E78" s="30" t="s">
        <v>29</v>
      </c>
      <c r="F78" s="58"/>
      <c r="G78" s="69"/>
      <c r="H78" s="69"/>
      <c r="I78" s="69"/>
      <c r="J78" s="69"/>
      <c r="K78" s="69"/>
      <c r="L78" s="69"/>
      <c r="M78" s="69"/>
      <c r="N78" s="69"/>
    </row>
    <row r="79" spans="3:14" x14ac:dyDescent="0.2">
      <c r="C79" s="59"/>
      <c r="D79" s="74"/>
      <c r="E79" s="61"/>
      <c r="F79" s="62"/>
      <c r="G79" s="69"/>
      <c r="H79" s="69"/>
      <c r="I79" s="69"/>
      <c r="J79" s="69"/>
      <c r="K79" s="69"/>
      <c r="L79" s="69"/>
      <c r="M79" s="69"/>
    </row>
    <row r="80" spans="3:14" x14ac:dyDescent="0.2">
      <c r="C80" s="63"/>
      <c r="D80" s="75"/>
      <c r="F80" s="38"/>
      <c r="G80" s="69"/>
      <c r="H80" s="69"/>
      <c r="I80" s="69"/>
      <c r="J80" s="69"/>
      <c r="K80" s="69"/>
      <c r="L80" s="69"/>
      <c r="M80" s="69"/>
    </row>
    <row r="81" spans="3:13" x14ac:dyDescent="0.2">
      <c r="C81" s="63"/>
      <c r="D81" s="75"/>
      <c r="F81" s="38"/>
      <c r="G81" s="69"/>
      <c r="H81" s="69"/>
      <c r="I81" s="69"/>
      <c r="J81" s="69"/>
      <c r="K81" s="69"/>
      <c r="L81" s="69"/>
      <c r="M81" s="69"/>
    </row>
    <row r="82" spans="3:13" x14ac:dyDescent="0.2">
      <c r="C82" s="63"/>
      <c r="D82" s="75"/>
      <c r="F82" s="38"/>
      <c r="G82" s="69"/>
      <c r="H82" s="69"/>
      <c r="I82" s="69"/>
      <c r="J82" s="69"/>
      <c r="K82" s="69"/>
      <c r="L82" s="69"/>
      <c r="M82" s="69"/>
    </row>
    <row r="83" spans="3:13" x14ac:dyDescent="0.2">
      <c r="C83" s="63"/>
      <c r="D83" s="75"/>
      <c r="F83" s="38"/>
      <c r="G83" s="69"/>
      <c r="H83" s="69"/>
      <c r="I83" s="69"/>
      <c r="J83" s="69"/>
      <c r="K83" s="69"/>
      <c r="L83" s="69"/>
      <c r="M83" s="69"/>
    </row>
    <row r="84" spans="3:13" x14ac:dyDescent="0.2">
      <c r="C84" s="63"/>
      <c r="D84" s="75"/>
      <c r="F84" s="38"/>
      <c r="G84" s="69"/>
      <c r="H84" s="69"/>
      <c r="I84" s="69"/>
      <c r="J84" s="69"/>
      <c r="K84" s="69"/>
      <c r="L84" s="69"/>
      <c r="M84" s="69"/>
    </row>
    <row r="85" spans="3:13" x14ac:dyDescent="0.2">
      <c r="C85" s="63"/>
      <c r="D85" s="75"/>
      <c r="F85" s="38"/>
      <c r="G85" s="69"/>
      <c r="H85" s="69"/>
      <c r="I85" s="69"/>
      <c r="J85" s="69"/>
      <c r="K85" s="69"/>
      <c r="L85" s="69"/>
      <c r="M85" s="69"/>
    </row>
    <row r="86" spans="3:13" x14ac:dyDescent="0.2">
      <c r="C86" s="63"/>
      <c r="D86" s="75"/>
      <c r="F86" s="38"/>
      <c r="G86" s="69"/>
      <c r="H86" s="69"/>
      <c r="I86" s="69"/>
      <c r="J86" s="69"/>
      <c r="K86" s="69"/>
      <c r="L86" s="69"/>
      <c r="M86" s="69"/>
    </row>
    <row r="87" spans="3:13" x14ac:dyDescent="0.2">
      <c r="C87" s="63"/>
      <c r="D87" s="75"/>
      <c r="F87" s="38"/>
      <c r="G87" s="69"/>
      <c r="H87" s="69"/>
      <c r="I87" s="69"/>
      <c r="J87" s="69"/>
      <c r="K87" s="69"/>
      <c r="L87" s="69"/>
      <c r="M87" s="69"/>
    </row>
    <row r="88" spans="3:13" x14ac:dyDescent="0.2">
      <c r="C88" s="63"/>
      <c r="D88" s="75"/>
      <c r="F88" s="38"/>
      <c r="G88" s="69"/>
      <c r="H88" s="69"/>
      <c r="I88" s="69"/>
      <c r="J88" s="69"/>
      <c r="K88" s="69"/>
      <c r="L88" s="69"/>
      <c r="M88" s="69"/>
    </row>
    <row r="89" spans="3:13" x14ac:dyDescent="0.2">
      <c r="C89" s="63"/>
      <c r="D89" s="75"/>
      <c r="F89" s="38"/>
      <c r="G89" s="69"/>
      <c r="H89" s="69"/>
      <c r="I89" s="69"/>
      <c r="J89" s="69"/>
      <c r="K89" s="69"/>
      <c r="L89" s="69"/>
      <c r="M89" s="69"/>
    </row>
    <row r="90" spans="3:13" x14ac:dyDescent="0.2">
      <c r="C90" s="63"/>
      <c r="D90" s="75"/>
      <c r="F90" s="38"/>
      <c r="G90" s="69"/>
      <c r="H90" s="69"/>
      <c r="I90" s="69"/>
      <c r="J90" s="69"/>
      <c r="K90" s="69"/>
      <c r="L90" s="69"/>
      <c r="M90" s="69"/>
    </row>
    <row r="91" spans="3:13" x14ac:dyDescent="0.2">
      <c r="C91" s="63"/>
      <c r="D91" s="75"/>
      <c r="F91" s="38"/>
      <c r="G91" s="69"/>
      <c r="H91" s="69"/>
      <c r="I91" s="69"/>
      <c r="J91" s="69"/>
      <c r="K91" s="69"/>
      <c r="L91" s="69"/>
      <c r="M91" s="69"/>
    </row>
    <row r="92" spans="3:13" x14ac:dyDescent="0.2">
      <c r="C92" s="63"/>
      <c r="D92" s="75"/>
      <c r="F92" s="38"/>
      <c r="G92" s="69"/>
      <c r="H92" s="69"/>
      <c r="I92" s="69"/>
      <c r="J92" s="69"/>
      <c r="K92" s="69"/>
      <c r="L92" s="69"/>
      <c r="M92" s="69"/>
    </row>
    <row r="93" spans="3:13" x14ac:dyDescent="0.2">
      <c r="C93" s="63"/>
      <c r="D93" s="75"/>
      <c r="F93" s="38"/>
      <c r="G93" s="69"/>
      <c r="H93" s="69"/>
      <c r="I93" s="69"/>
      <c r="J93" s="69"/>
      <c r="K93" s="69"/>
      <c r="L93" s="69"/>
      <c r="M93" s="69"/>
    </row>
    <row r="94" spans="3:13" x14ac:dyDescent="0.2">
      <c r="C94" s="63"/>
      <c r="D94" s="75"/>
      <c r="F94" s="38"/>
      <c r="G94" s="69"/>
      <c r="H94" s="69"/>
      <c r="I94" s="69"/>
      <c r="J94" s="69"/>
      <c r="K94" s="69"/>
      <c r="L94" s="69"/>
      <c r="M94" s="69"/>
    </row>
    <row r="95" spans="3:13" x14ac:dyDescent="0.2">
      <c r="C95" s="63"/>
      <c r="D95" s="75"/>
      <c r="F95" s="38"/>
      <c r="G95" s="69"/>
      <c r="H95" s="69"/>
      <c r="I95" s="69"/>
      <c r="J95" s="69"/>
      <c r="K95" s="69"/>
      <c r="L95" s="69"/>
      <c r="M95" s="69"/>
    </row>
    <row r="96" spans="3:13" x14ac:dyDescent="0.2">
      <c r="C96" s="63"/>
      <c r="D96" s="75"/>
      <c r="F96" s="38"/>
      <c r="G96" s="69"/>
      <c r="H96" s="69"/>
      <c r="I96" s="69"/>
      <c r="J96" s="69"/>
      <c r="K96" s="69"/>
      <c r="L96" s="69"/>
      <c r="M96" s="69"/>
    </row>
    <row r="97" spans="2:13" ht="16" thickBot="1" x14ac:dyDescent="0.25">
      <c r="C97" s="66"/>
      <c r="D97" s="76"/>
      <c r="E97" s="30"/>
      <c r="F97" s="68"/>
      <c r="G97" s="69"/>
      <c r="H97" s="69"/>
      <c r="I97" s="69"/>
      <c r="J97" s="69"/>
      <c r="K97" s="69"/>
      <c r="L97" s="69"/>
      <c r="M97" s="69"/>
    </row>
    <row r="98" spans="2:13" ht="16" thickBot="1" x14ac:dyDescent="0.25">
      <c r="G98" s="69"/>
      <c r="H98" s="69"/>
      <c r="I98" s="69"/>
      <c r="J98" s="69"/>
      <c r="K98" s="69"/>
      <c r="L98" s="69"/>
      <c r="M98" s="69"/>
    </row>
    <row r="99" spans="2:13" ht="16" thickBot="1" x14ac:dyDescent="0.25">
      <c r="B99" s="120" t="s">
        <v>33</v>
      </c>
      <c r="C99" s="121"/>
      <c r="D99" s="32" t="s">
        <v>20</v>
      </c>
      <c r="E99" s="32" t="s">
        <v>4</v>
      </c>
      <c r="F99" s="33" t="s">
        <v>21</v>
      </c>
      <c r="G99" s="69"/>
      <c r="H99" s="69"/>
      <c r="I99" s="69"/>
      <c r="J99" s="69"/>
      <c r="K99" s="69"/>
      <c r="L99" s="69"/>
      <c r="M99" s="69"/>
    </row>
    <row r="100" spans="2:13" x14ac:dyDescent="0.2">
      <c r="C100" s="24" t="s">
        <v>106</v>
      </c>
      <c r="D100" s="131">
        <f>(VLOOKUP(D4, 'Durchlaufende Träger'!$A$2:$W$8, 23, FALSE) * D14 * D5^4) / (D9) * 1000</f>
        <v>1.0874747935517234E-3</v>
      </c>
      <c r="E100" s="35" t="s">
        <v>34</v>
      </c>
      <c r="F100" s="45" t="str">
        <f>IF(D100=0, "", " (" &amp; VLOOKUP(D4, 'Durchlaufende Träger'!$A$2:$W$8, 23, FALSE) &amp; " * " &amp; ROUND(D14, D10) &amp; " kN * " &amp; ROUND(D5, D10) &amp; "⁴) / " &amp; ROUND(D9, D10) &amp; " * 1000 = " &amp; ROUND((VLOOKUP(D4, 'Durchlaufende Träger'!$A$2:$W$8, 23, FALSE) * D14 * D5^4) / D9 * 1000, D10) &amp; " mm")</f>
        <v xml:space="preserve"> (0.0068 * 338.31 kN * 2.5⁴) / 82635105 * 1000 = 0.001 mm</v>
      </c>
      <c r="G100" s="69"/>
      <c r="H100" s="69"/>
      <c r="I100" s="69"/>
      <c r="J100" s="69"/>
      <c r="K100" s="69"/>
      <c r="L100" s="69"/>
      <c r="M100" s="69"/>
    </row>
    <row r="101" spans="2:13" x14ac:dyDescent="0.2">
      <c r="C101" s="24" t="s">
        <v>107</v>
      </c>
      <c r="D101" s="130">
        <f>(VLOOKUP(D4, 'Durchlaufende Träger'!$A$2:$X$8, 24, FALSE) * D14 * D5^4) / (D9) * 1000</f>
        <v>8.3159837153955324E-5</v>
      </c>
      <c r="E101" s="37" t="s">
        <v>34</v>
      </c>
      <c r="F101" s="45" t="str">
        <f>IF(D101=0, "", " (" &amp; VLOOKUP(D4, 'Durchlaufende Träger'!$A$2:$X$8, 24, FALSE) &amp; " * " &amp; ROUND(D14, D10) &amp; " kN * " &amp; ROUND(D5, D10) &amp; "⁴) / " &amp; ROUND(D9, D10) &amp; " * 1000 = " &amp; ROUND((VLOOKUP(D4, 'Durchlaufende Träger'!$A$2:$X$8, 24, FALSE) * D14 * D5^4) / D9 * 1000, D10) &amp; " mm")</f>
        <v xml:space="preserve"> (0.00052 * 338.31 kN * 2.5⁴) / 82635105 * 1000 = 0 mm</v>
      </c>
      <c r="G101" s="69"/>
      <c r="H101" s="69"/>
      <c r="I101" s="69"/>
      <c r="J101" s="69"/>
      <c r="K101" s="69"/>
      <c r="L101" s="69"/>
      <c r="M101" s="69"/>
    </row>
    <row r="102" spans="2:13" x14ac:dyDescent="0.2">
      <c r="C102" s="24" t="s">
        <v>108</v>
      </c>
      <c r="D102" s="130">
        <f>(VLOOKUP(D4, 'Durchlaufende Träger'!$A$2:$Y$8, 25, FALSE) * D14 * D5^4) / (D9) * 1000</f>
        <v>1.0874747935517234E-3</v>
      </c>
      <c r="E102" s="37" t="s">
        <v>34</v>
      </c>
      <c r="F102" s="45" t="str">
        <f>IF(D102=0, "", " (" &amp; VLOOKUP(D4, 'Durchlaufende Träger'!$A$2:$Y$8, 25, FALSE) &amp; " * " &amp; ROUND(D14, D10) &amp; " kN * " &amp; ROUND(D5, D10) &amp; "⁴) / " &amp; ROUND(D9, D10) &amp; " * 1000 = " &amp; ROUND((VLOOKUP(D4, 'Durchlaufende Träger'!$A$2:$Y$8, 25, FALSE) * D14 * D5^4) / D9 * 1000, D10) &amp; " mm")</f>
        <v xml:space="preserve"> (0.0068 * 338.31 kN * 2.5⁴) / 82635105 * 1000 = 0.001 mm</v>
      </c>
      <c r="G102" s="69"/>
      <c r="H102" s="69"/>
      <c r="I102" s="69"/>
      <c r="J102" s="69"/>
      <c r="K102" s="69"/>
      <c r="L102" s="69"/>
      <c r="M102" s="69"/>
    </row>
    <row r="103" spans="2:13" x14ac:dyDescent="0.2">
      <c r="C103" s="24" t="s">
        <v>109</v>
      </c>
      <c r="D103" s="126">
        <f>(VLOOKUP(D4, 'Durchlaufende Träger'!$A$2:$Z$8, 26, FALSE) * D14 * D5^4) / (D9) * 1000</f>
        <v>0</v>
      </c>
      <c r="E103" s="37" t="s">
        <v>34</v>
      </c>
      <c r="F103" s="45" t="str">
        <f>IF(D103=0, "", " (" &amp; VLOOKUP(D4, 'Durchlaufende Träger'!$A$2:$Z$8, 26, FALSE) &amp; " * " &amp; ROUND(D14, D10) &amp; " kN * " &amp; ROUND(D5, D10) &amp; "⁴) / " &amp; ROUND(D9, D10) &amp; " * 1000 = " &amp; ROUND((VLOOKUP(D4, 'Durchlaufende Träger'!$A$2:$Z$8, 26, FALSE) * D14 * D5^4) / D9 * 1000, D10) &amp; " mm")</f>
        <v/>
      </c>
      <c r="G103" s="69"/>
      <c r="H103" s="69"/>
      <c r="I103" s="69"/>
      <c r="J103" s="69"/>
      <c r="K103" s="69"/>
      <c r="L103" s="69"/>
      <c r="M103" s="69"/>
    </row>
    <row r="104" spans="2:13" x14ac:dyDescent="0.2">
      <c r="C104" s="24" t="s">
        <v>110</v>
      </c>
      <c r="D104" s="126">
        <f>(VLOOKUP(D4, 'Durchlaufende Träger'!$A$2:$AA$8, 27, FALSE) * D14 * D5^4) / (D9) * 1000</f>
        <v>0</v>
      </c>
      <c r="E104" s="37" t="s">
        <v>34</v>
      </c>
      <c r="F104" s="45" t="str">
        <f>IF(D104=0, "", " (" &amp; VLOOKUP(D4, 'Durchlaufende Träger'!$A$2:$AA$8, 27, FALSE) &amp; " * " &amp; ROUND(D14, D10) &amp; " kN * " &amp; ROUND(D5, D10) &amp; "⁴) / " &amp; ROUND(D9, D10) &amp; " * 1000 = " &amp; ROUND((VLOOKUP(D4, 'Durchlaufende Träger'!$A$2:$AA$8, 27, FALSE) * D14 * D5^4) / D9 * 1000, D10) &amp; " mm")</f>
        <v/>
      </c>
      <c r="G104" s="69"/>
      <c r="H104" s="69"/>
      <c r="I104" s="69"/>
      <c r="J104" s="69"/>
      <c r="K104" s="69"/>
      <c r="L104" s="69"/>
      <c r="M104" s="69"/>
    </row>
    <row r="105" spans="2:13" x14ac:dyDescent="0.2">
      <c r="C105" s="24" t="s">
        <v>111</v>
      </c>
      <c r="D105" s="126">
        <f>(VLOOKUP(D4, 'Durchlaufende Träger'!$A$2:$AB$8, 28, FALSE) * D14 * D5^4) / (D9) * 1000</f>
        <v>0</v>
      </c>
      <c r="E105" s="37" t="s">
        <v>34</v>
      </c>
      <c r="F105" s="45" t="str">
        <f>IF(D105=0, "", " (" &amp; VLOOKUP(D4, 'Durchlaufende Träger'!$A$2:$AB$8, 28, FALSE) &amp; " * " &amp; ROUND(D14, D10) &amp; " kN * " &amp; ROUND(D5, D10) &amp; "⁴) / " &amp; ROUND(D9, D10) &amp; " * 1000 = " &amp; ROUND((VLOOKUP(D4, 'Durchlaufende Träger'!$A$2:$AB$8, 28, FALSE) * D14 * D5^4) / D9 * 1000, D10) &amp; " mm")</f>
        <v/>
      </c>
      <c r="G105" s="69"/>
      <c r="H105" s="69"/>
      <c r="I105" s="69"/>
      <c r="J105" s="69"/>
      <c r="K105" s="69"/>
      <c r="L105" s="69"/>
      <c r="M105" s="69"/>
    </row>
    <row r="106" spans="2:13" ht="16" thickBot="1" x14ac:dyDescent="0.25">
      <c r="C106" s="24" t="s">
        <v>112</v>
      </c>
      <c r="D106" s="126">
        <f>(VLOOKUP(D4, 'Durchlaufende Träger'!$A$2:$AC$8, 29, FALSE) * D14 * D5^4) / (D9) * 1000</f>
        <v>0</v>
      </c>
      <c r="E106" s="37" t="s">
        <v>34</v>
      </c>
      <c r="F106" s="71" t="str">
        <f>IF(D106=0, "", " (" &amp; VLOOKUP(D4, 'Durchlaufende Träger'!$A$2:$AC$8, 29, FALSE) &amp; " * " &amp; ROUND(D14, D10) &amp; " kN * " &amp; ROUND(D5, D10) &amp; "⁴) / " &amp; ROUND(D9, D10) &amp; " * 1000 = " &amp; ROUND((VLOOKUP(D4, 'Durchlaufende Träger'!$A$2:$AC$8, 29, FALSE) * D14 * D5^4) / D9 * 1000, D10) &amp; " mm")</f>
        <v/>
      </c>
      <c r="G106" s="69"/>
      <c r="H106" s="69"/>
      <c r="I106" s="69"/>
      <c r="J106" s="69"/>
      <c r="K106" s="69"/>
      <c r="L106" s="69"/>
      <c r="M106" s="69"/>
    </row>
    <row r="107" spans="2:13" ht="16" thickBot="1" x14ac:dyDescent="0.25">
      <c r="C107" s="55" t="s">
        <v>86</v>
      </c>
      <c r="D107" s="56" cm="1">
        <f t="array" ref="D107">_xlfn.AGGREGATE(14,6,ABS(D100:D103),1)</f>
        <v>1.0874747935517234E-3</v>
      </c>
      <c r="E107" s="77" t="s">
        <v>34</v>
      </c>
      <c r="F107" s="58"/>
    </row>
    <row r="108" spans="2:13" x14ac:dyDescent="0.2">
      <c r="C108" s="22"/>
      <c r="D108" s="61"/>
      <c r="E108" s="61"/>
      <c r="F108" s="62"/>
    </row>
    <row r="109" spans="2:13" x14ac:dyDescent="0.2">
      <c r="C109" s="24"/>
      <c r="F109" s="38"/>
    </row>
    <row r="110" spans="2:13" x14ac:dyDescent="0.2">
      <c r="C110" s="24"/>
      <c r="F110" s="38"/>
    </row>
    <row r="111" spans="2:13" x14ac:dyDescent="0.2">
      <c r="C111" s="24"/>
      <c r="F111" s="38"/>
    </row>
    <row r="112" spans="2:13" x14ac:dyDescent="0.2">
      <c r="C112" s="24"/>
      <c r="F112" s="38"/>
    </row>
    <row r="113" spans="3:6" x14ac:dyDescent="0.2">
      <c r="C113" s="24"/>
      <c r="F113" s="38"/>
    </row>
    <row r="114" spans="3:6" x14ac:dyDescent="0.2">
      <c r="C114" s="24"/>
      <c r="F114" s="38"/>
    </row>
    <row r="115" spans="3:6" x14ac:dyDescent="0.2">
      <c r="C115" s="24"/>
      <c r="F115" s="38"/>
    </row>
    <row r="116" spans="3:6" x14ac:dyDescent="0.2">
      <c r="C116" s="24"/>
      <c r="F116" s="38"/>
    </row>
    <row r="117" spans="3:6" x14ac:dyDescent="0.2">
      <c r="C117" s="24"/>
      <c r="F117" s="38"/>
    </row>
    <row r="118" spans="3:6" x14ac:dyDescent="0.2">
      <c r="C118" s="24"/>
      <c r="F118" s="38"/>
    </row>
    <row r="119" spans="3:6" x14ac:dyDescent="0.2">
      <c r="C119" s="24"/>
      <c r="F119" s="38"/>
    </row>
    <row r="120" spans="3:6" x14ac:dyDescent="0.2">
      <c r="C120" s="24"/>
      <c r="F120" s="38"/>
    </row>
    <row r="121" spans="3:6" x14ac:dyDescent="0.2">
      <c r="C121" s="24"/>
      <c r="F121" s="38"/>
    </row>
    <row r="122" spans="3:6" x14ac:dyDescent="0.2">
      <c r="C122" s="24"/>
      <c r="F122" s="38"/>
    </row>
    <row r="123" spans="3:6" x14ac:dyDescent="0.2">
      <c r="C123" s="24"/>
      <c r="F123" s="38"/>
    </row>
    <row r="124" spans="3:6" x14ac:dyDescent="0.2">
      <c r="C124" s="24"/>
      <c r="F124" s="38"/>
    </row>
    <row r="125" spans="3:6" x14ac:dyDescent="0.2">
      <c r="C125" s="24"/>
      <c r="F125" s="38"/>
    </row>
    <row r="126" spans="3:6" ht="16" thickBot="1" x14ac:dyDescent="0.25">
      <c r="C126" s="28"/>
      <c r="D126" s="30"/>
      <c r="E126" s="30"/>
      <c r="F126" s="68"/>
    </row>
  </sheetData>
  <sheetProtection algorithmName="SHA-512" hashValue="IadnHayFGm3klR4IQBm3eeQUgm40XNcakLYY+xIMaKO1F6V1lBlpXwzHSURPe3UhAOcHBfRMFAB7Kqz1gN1SqQ==" saltValue="xtOImXPs3NxU9XTeVZ7sMg==" spinCount="100000" sheet="1" objects="1" scenarios="1" selectLockedCells="1"/>
  <mergeCells count="7">
    <mergeCell ref="A1:C1"/>
    <mergeCell ref="B64:C64"/>
    <mergeCell ref="B99:C99"/>
    <mergeCell ref="B3:C3"/>
    <mergeCell ref="B12:C12"/>
    <mergeCell ref="B17:C17"/>
    <mergeCell ref="B27:C27"/>
  </mergeCells>
  <phoneticPr fontId="7" type="noConversion"/>
  <hyperlinks>
    <hyperlink ref="F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D4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H68" sqref="H68"/>
    </sheetView>
  </sheetViews>
  <sheetFormatPr baseColWidth="10" defaultColWidth="11.5" defaultRowHeight="15" x14ac:dyDescent="0.2"/>
  <sheetData>
    <row r="1" spans="1:4" ht="16" thickBot="1" x14ac:dyDescent="0.25">
      <c r="A1" s="92" t="s">
        <v>61</v>
      </c>
      <c r="B1" s="93"/>
      <c r="C1" s="94"/>
    </row>
    <row r="2" spans="1:4" x14ac:dyDescent="0.2">
      <c r="A2" s="7"/>
      <c r="B2" s="88">
        <v>0</v>
      </c>
      <c r="C2" s="4">
        <v>1</v>
      </c>
      <c r="D2" cm="1">
        <f t="array" ref="D2:D9">_xlfn._xlws.FILTER(C2:C17, B2:B17&lt;&gt;"")</f>
        <v>1</v>
      </c>
    </row>
    <row r="3" spans="1:4" x14ac:dyDescent="0.2">
      <c r="A3" s="8"/>
      <c r="B3" s="89">
        <f>IF(ISNUMBER(Berechnungen!D29), Berechnungen!D29, "")</f>
        <v>338.31</v>
      </c>
      <c r="C3" s="5">
        <v>1</v>
      </c>
      <c r="D3">
        <v>1</v>
      </c>
    </row>
    <row r="4" spans="1:4" x14ac:dyDescent="0.2">
      <c r="A4" s="8"/>
      <c r="B4" s="89">
        <f>IF(ISNUMBER(Berechnungen!D30), Berechnungen!D30, "")</f>
        <v>-507.46499999999997</v>
      </c>
      <c r="C4" s="5">
        <v>2</v>
      </c>
      <c r="D4">
        <v>2</v>
      </c>
    </row>
    <row r="5" spans="1:4" x14ac:dyDescent="0.2">
      <c r="A5" s="8"/>
      <c r="B5" s="89">
        <f>IF(ISNUMBER(Berechnungen!D31), Berechnungen!D31, "")</f>
        <v>422.8875000000001</v>
      </c>
      <c r="C5" s="5">
        <v>2</v>
      </c>
      <c r="D5">
        <v>2</v>
      </c>
    </row>
    <row r="6" spans="1:4" x14ac:dyDescent="0.2">
      <c r="A6" s="8"/>
      <c r="B6" s="89">
        <f>IF(ISNUMBER(Berechnungen!D32), Berechnungen!D32, "")</f>
        <v>-422.8875000000001</v>
      </c>
      <c r="C6" s="5">
        <v>3</v>
      </c>
      <c r="D6">
        <v>3</v>
      </c>
    </row>
    <row r="7" spans="1:4" x14ac:dyDescent="0.2">
      <c r="A7" s="8"/>
      <c r="B7" s="89">
        <f>IF(ISNUMBER(Berechnungen!D33), Berechnungen!D33, "")</f>
        <v>507.46499999999997</v>
      </c>
      <c r="C7" s="5">
        <v>3</v>
      </c>
      <c r="D7">
        <v>3</v>
      </c>
    </row>
    <row r="8" spans="1:4" x14ac:dyDescent="0.2">
      <c r="A8" s="8"/>
      <c r="B8" s="89">
        <f>IF(ISNUMBER(Berechnungen!D34), Berechnungen!D34, "")</f>
        <v>-338.31</v>
      </c>
      <c r="C8" s="5">
        <v>4</v>
      </c>
      <c r="D8">
        <v>4</v>
      </c>
    </row>
    <row r="9" spans="1:4" x14ac:dyDescent="0.2">
      <c r="A9" s="8"/>
      <c r="B9" s="89">
        <f>IF(ISNUMBER(Berechnungen!D35), Berechnungen!D35, "")</f>
        <v>0</v>
      </c>
      <c r="C9" s="5">
        <v>4</v>
      </c>
      <c r="D9">
        <v>4</v>
      </c>
    </row>
    <row r="10" spans="1:4" x14ac:dyDescent="0.2">
      <c r="A10" s="8"/>
      <c r="B10" s="89" t="str">
        <f>IF(ISNUMBER(Berechnungen!D36), Berechnungen!D36, "")</f>
        <v/>
      </c>
      <c r="C10" s="5">
        <v>5</v>
      </c>
    </row>
    <row r="11" spans="1:4" x14ac:dyDescent="0.2">
      <c r="A11" s="8"/>
      <c r="B11" s="89" t="str">
        <f>IF(ISNUMBER(Berechnungen!D37), Berechnungen!D37, "")</f>
        <v/>
      </c>
      <c r="C11" s="5">
        <v>5</v>
      </c>
    </row>
    <row r="12" spans="1:4" x14ac:dyDescent="0.2">
      <c r="A12" s="8"/>
      <c r="B12" s="89" t="str">
        <f>IF(ISNUMBER(Berechnungen!D38), Berechnungen!D38, "")</f>
        <v/>
      </c>
      <c r="C12" s="5">
        <v>6</v>
      </c>
    </row>
    <row r="13" spans="1:4" x14ac:dyDescent="0.2">
      <c r="A13" s="8"/>
      <c r="B13" s="89" t="str">
        <f>IF(ISNUMBER(Berechnungen!D39), Berechnungen!D39, "")</f>
        <v/>
      </c>
      <c r="C13" s="5">
        <v>6</v>
      </c>
    </row>
    <row r="14" spans="1:4" x14ac:dyDescent="0.2">
      <c r="A14" s="8"/>
      <c r="B14" s="89" t="str">
        <f>IF(ISNUMBER(Berechnungen!D40), Berechnungen!D40, "")</f>
        <v/>
      </c>
      <c r="C14" s="5">
        <v>7</v>
      </c>
    </row>
    <row r="15" spans="1:4" x14ac:dyDescent="0.2">
      <c r="A15" s="8"/>
      <c r="B15" s="89" t="str">
        <f>IF(ISNUMBER(Berechnungen!D41), Berechnungen!D41, "")</f>
        <v/>
      </c>
      <c r="C15" s="5">
        <v>7</v>
      </c>
    </row>
    <row r="16" spans="1:4" x14ac:dyDescent="0.2">
      <c r="A16" s="8"/>
      <c r="B16" s="89" t="str">
        <f>IF(ISNUMBER(Berechnungen!D42), Berechnungen!D42, "")</f>
        <v/>
      </c>
      <c r="C16" s="5">
        <v>8</v>
      </c>
    </row>
    <row r="17" spans="1:10" ht="16" thickBot="1" x14ac:dyDescent="0.25">
      <c r="A17" s="9"/>
      <c r="B17" s="89" t="str">
        <f>IF(ISNUMBER(Berechnungen!D43), Berechnungen!D43, "")</f>
        <v/>
      </c>
      <c r="C17" s="6">
        <v>8</v>
      </c>
    </row>
    <row r="18" spans="1:10" x14ac:dyDescent="0.2">
      <c r="A18" s="17"/>
      <c r="B18" s="10"/>
      <c r="C18" s="16"/>
      <c r="D18">
        <f>MAX(D2:D17)</f>
        <v>4</v>
      </c>
    </row>
    <row r="19" spans="1:10" x14ac:dyDescent="0.2">
      <c r="A19" s="17"/>
      <c r="B19" s="10"/>
      <c r="C19" s="16"/>
      <c r="D19">
        <v>1</v>
      </c>
    </row>
    <row r="20" spans="1:10" ht="16" thickBot="1" x14ac:dyDescent="0.25">
      <c r="A20" s="17"/>
      <c r="B20" s="10"/>
      <c r="C20" s="16"/>
      <c r="D20">
        <f>SUM(D18:D19)</f>
        <v>5</v>
      </c>
    </row>
    <row r="21" spans="1:10" ht="16" thickBot="1" x14ac:dyDescent="0.25">
      <c r="B21" s="92" t="s">
        <v>62</v>
      </c>
      <c r="C21" s="93"/>
      <c r="D21" s="93"/>
      <c r="E21" s="93"/>
      <c r="F21" s="94"/>
    </row>
    <row r="22" spans="1:10" ht="16" thickBot="1" x14ac:dyDescent="0.25">
      <c r="B22" s="82">
        <v>0</v>
      </c>
      <c r="C22" s="16">
        <v>1</v>
      </c>
      <c r="D22" s="11" t="s">
        <v>37</v>
      </c>
      <c r="G22" s="92" t="s">
        <v>113</v>
      </c>
      <c r="H22" s="93"/>
      <c r="I22" s="93"/>
      <c r="J22" s="94"/>
    </row>
    <row r="23" spans="1:10" x14ac:dyDescent="0.2">
      <c r="B23" s="82">
        <f>IFERROR(IF(ISNUMBER(Berechnungen!D65), Berechnungen!D65, IF(AND(ISNUMBER(B22), ABS(B22)&gt;0), 0, "")), "")</f>
        <v>169.155</v>
      </c>
      <c r="C23" s="16">
        <v>1.5</v>
      </c>
      <c r="D23" s="11" t="s">
        <v>66</v>
      </c>
      <c r="E23" s="88" cm="1">
        <f t="array" ref="E23:E29">_xlfn._xlws.FILTER(B22:B37, B22:B37&lt;&gt;"")</f>
        <v>0</v>
      </c>
      <c r="F23" s="4">
        <v>1</v>
      </c>
      <c r="G23" s="78" cm="1">
        <f t="array" aca="1" ref="G23" ca="1">IF(ISNUMBER(INDIRECT(ADDRESS(ROW(), COLUMN()-1))), INDIRECT(ADDRESS(ROW(), COLUMN()-1)), "")</f>
        <v>1</v>
      </c>
      <c r="H23" s="78">
        <f ca="1">G23</f>
        <v>1</v>
      </c>
      <c r="I23" s="81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Berechnungen!D78, "")</f>
        <v>211.44399999999999</v>
      </c>
    </row>
    <row r="24" spans="1:10" x14ac:dyDescent="0.2">
      <c r="B24" s="82">
        <f>IFERROR(IF(ISNUMBER(Berechnungen!D72), Berechnungen!D72, IF(AND(ISNUMBER(B23), ABS(B23)&gt;0), 0, "")), "")</f>
        <v>-211.44375000000002</v>
      </c>
      <c r="C24" s="16">
        <v>2</v>
      </c>
      <c r="D24" s="11" t="s">
        <v>38</v>
      </c>
      <c r="E24" s="89">
        <v>169.155</v>
      </c>
      <c r="F24" s="5" cm="1">
        <f t="array" ref="F24:F29">_xlfn._xlws.FILTER(C23:C37, B23:B37&lt;&gt;"")</f>
        <v>1.5</v>
      </c>
      <c r="G24" s="79"/>
      <c r="H24" s="79"/>
      <c r="I24" s="16"/>
      <c r="J24" s="11"/>
    </row>
    <row r="25" spans="1:10" x14ac:dyDescent="0.2">
      <c r="B25" s="82">
        <f>IFERROR(IF(ISNUMBER(Berechnungen!D66), Berechnungen!D66, IF(AND(ISNUMBER(B24), ABS(B24)&gt;0), 0, "")), "")</f>
        <v>52.860937500000006</v>
      </c>
      <c r="C25" s="16">
        <v>2.5</v>
      </c>
      <c r="D25" s="11" t="s">
        <v>67</v>
      </c>
      <c r="E25" s="89">
        <v>-211.44375000000002</v>
      </c>
      <c r="F25" s="5">
        <v>2</v>
      </c>
      <c r="G25" s="79" cm="1">
        <f t="array" aca="1" ref="G25" ca="1">IF(ISNUMBER(INDIRECT(ADDRESS(ROW(), COLUMN()-1))), INDIRECT(ADDRESS(ROW(), COLUMN()-1)), "")</f>
        <v>2</v>
      </c>
      <c r="H25" s="79">
        <f ca="1">G25</f>
        <v>2</v>
      </c>
      <c r="I25" s="16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Berechnungen!D78, "")</f>
        <v>211.44399999999999</v>
      </c>
    </row>
    <row r="26" spans="1:10" x14ac:dyDescent="0.2">
      <c r="B26" s="82">
        <f>IFERROR(IF(ISNUMBER(Berechnungen!D73), Berechnungen!D73, IF(AND(ISNUMBER(B25), ABS(B25)&gt;0), 0, "")), "")</f>
        <v>-211.44375000000002</v>
      </c>
      <c r="C26" s="16">
        <v>3</v>
      </c>
      <c r="D26" s="11" t="s">
        <v>39</v>
      </c>
      <c r="E26" s="89">
        <v>52.860937500000006</v>
      </c>
      <c r="F26" s="5">
        <v>2.5</v>
      </c>
      <c r="G26" s="79"/>
      <c r="H26" s="79"/>
      <c r="I26" s="16"/>
      <c r="J26" s="11"/>
    </row>
    <row r="27" spans="1:10" x14ac:dyDescent="0.2">
      <c r="B27" s="82">
        <f>IFERROR(IF(ISNUMBER(Berechnungen!D67), Berechnungen!D67, IF(AND(ISNUMBER(B26), ABS(B26)&gt;0), 0, "")), "")</f>
        <v>169.155</v>
      </c>
      <c r="C27" s="16">
        <v>3.5</v>
      </c>
      <c r="D27" s="11" t="s">
        <v>68</v>
      </c>
      <c r="E27" s="89">
        <v>-211.44375000000002</v>
      </c>
      <c r="F27" s="5">
        <v>3</v>
      </c>
      <c r="G27" s="79" cm="1">
        <f t="array" aca="1" ref="G27" ca="1">IF(ISNUMBER(INDIRECT(ADDRESS(ROW(), COLUMN()-1))), INDIRECT(ADDRESS(ROW(), COLUMN()-1)), "")</f>
        <v>3</v>
      </c>
      <c r="H27" s="79">
        <f ca="1">G27</f>
        <v>3</v>
      </c>
      <c r="I27" s="16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Berechnungen!D78, "")</f>
        <v>211.44399999999999</v>
      </c>
    </row>
    <row r="28" spans="1:10" x14ac:dyDescent="0.2">
      <c r="B28" s="82">
        <f>IFERROR(IF(ISNUMBER(Berechnungen!D74), Berechnungen!D74, IF(AND(ISNUMBER(B27), ABS(B27)&gt;0), 0, "")), "")</f>
        <v>0</v>
      </c>
      <c r="C28" s="16">
        <v>4</v>
      </c>
      <c r="D28" s="11" t="s">
        <v>40</v>
      </c>
      <c r="E28" s="89">
        <v>169.155</v>
      </c>
      <c r="F28" s="5">
        <v>3.5</v>
      </c>
      <c r="G28" s="79"/>
      <c r="H28" s="79"/>
      <c r="I28" s="16"/>
      <c r="J28" s="11"/>
    </row>
    <row r="29" spans="1:10" x14ac:dyDescent="0.2">
      <c r="B29" s="82" t="str">
        <f>IFERROR(IF(ISNUMBER(Berechnungen!D68), Berechnungen!D68, IF(AND(ISNUMBER(B28), ABS(B28)&gt;0), 0, "")), "")</f>
        <v/>
      </c>
      <c r="C29" s="16">
        <v>4.5</v>
      </c>
      <c r="D29" s="11" t="s">
        <v>69</v>
      </c>
      <c r="E29" s="89">
        <v>0</v>
      </c>
      <c r="F29" s="5">
        <v>4</v>
      </c>
      <c r="G29" s="79" cm="1">
        <f t="array" aca="1" ref="G29" ca="1">IF(ISNUMBER(INDIRECT(ADDRESS(ROW(), COLUMN()-1))), INDIRECT(ADDRESS(ROW(), COLUMN()-1)), "")</f>
        <v>4</v>
      </c>
      <c r="H29" s="79">
        <f ca="1">G29</f>
        <v>4</v>
      </c>
      <c r="I29" s="16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Berechnungen!D78, "")</f>
        <v>211.44399999999999</v>
      </c>
    </row>
    <row r="30" spans="1:10" x14ac:dyDescent="0.2">
      <c r="B30" s="14" t="str">
        <f>IFERROR(IF(ISNUMBER(Berechnungen!D75), Berechnungen!D75, IF(AND(ISNUMBER(B29), ABS(B29)&gt;0), 0, "")), "")</f>
        <v/>
      </c>
      <c r="C30" s="16">
        <v>5</v>
      </c>
      <c r="D30" s="11" t="s">
        <v>41</v>
      </c>
      <c r="E30" s="89"/>
      <c r="F30" s="5"/>
      <c r="G30" s="79"/>
      <c r="H30" s="79"/>
      <c r="I30" s="16"/>
      <c r="J30" s="11"/>
    </row>
    <row r="31" spans="1:10" x14ac:dyDescent="0.2">
      <c r="B31" s="82" t="str">
        <f>IFERROR(IF(ISNUMBER(Berechnungen!D69), Berechnungen!D69, IF(AND(ISNUMBER(B30), ABS(B30)&gt;0), 0, "")), "")</f>
        <v/>
      </c>
      <c r="C31" s="16">
        <v>5.5</v>
      </c>
      <c r="D31" s="11" t="s">
        <v>70</v>
      </c>
      <c r="E31" s="89"/>
      <c r="F31" s="5"/>
      <c r="G31" s="79" t="str" cm="1">
        <f t="array" aca="1" ref="G31" ca="1">IF(ISNUMBER(INDIRECT(ADDRESS(ROW(), COLUMN()-1))), INDIRECT(ADDRESS(ROW(), COLUMN()-1)), "")</f>
        <v/>
      </c>
      <c r="H31" s="79" t="str">
        <f ca="1">G31</f>
        <v/>
      </c>
      <c r="I31" s="16" t="str" cm="1">
        <f t="array" aca="1" ref="I31" ca="1">IF(ISNUMBER(INDIRECT(ADDRESS(ROW(), COLUMN()-1))), 0, "")</f>
        <v/>
      </c>
      <c r="J31" s="11" t="str" cm="1">
        <f t="array" aca="1" ref="J31" ca="1">IF(ISNUMBER(INDIRECT(ADDRESS(ROW(), COLUMN()-1))), Berechnungen!D78, "")</f>
        <v/>
      </c>
    </row>
    <row r="32" spans="1:10" x14ac:dyDescent="0.2">
      <c r="B32" s="82" t="str">
        <f>IFERROR(IF(ISNUMBER(Berechnungen!D76), Berechnungen!D76, IF(AND(ISNUMBER(B31), B31&gt;0), 0, "")), "")</f>
        <v/>
      </c>
      <c r="C32" s="16">
        <v>6</v>
      </c>
      <c r="D32" s="11" t="s">
        <v>42</v>
      </c>
      <c r="E32" s="89"/>
      <c r="F32" s="5"/>
      <c r="G32" s="79"/>
      <c r="H32" s="79"/>
      <c r="I32" s="16"/>
      <c r="J32" s="11"/>
    </row>
    <row r="33" spans="1:10" x14ac:dyDescent="0.2">
      <c r="B33" s="82" t="str">
        <f>IFERROR(IF(ISNUMBER(Berechnungen!D70), Berechnungen!D70, IF(AND(ISNUMBER(B32), ABS(B32)&gt;0), 0, "")), "")</f>
        <v/>
      </c>
      <c r="C33" s="16">
        <v>6.5</v>
      </c>
      <c r="D33" s="11" t="s">
        <v>71</v>
      </c>
      <c r="E33" s="89"/>
      <c r="F33" s="5"/>
      <c r="G33" s="79" t="str" cm="1">
        <f t="array" aca="1" ref="G33" ca="1">IF(ISNUMBER(INDIRECT(ADDRESS(ROW(), COLUMN()-1))), INDIRECT(ADDRESS(ROW(), COLUMN()-1)), "")</f>
        <v/>
      </c>
      <c r="H33" s="79" t="str">
        <f ca="1">G33</f>
        <v/>
      </c>
      <c r="I33" s="16" t="str" cm="1">
        <f t="array" aca="1" ref="I33" ca="1">IF(ISNUMBER(INDIRECT(ADDRESS(ROW(), COLUMN()-1))), 0, "")</f>
        <v/>
      </c>
      <c r="J33" s="11" t="str" cm="1">
        <f t="array" aca="1" ref="J33" ca="1">IF(ISNUMBER(INDIRECT(ADDRESS(ROW(), COLUMN()-1))), Berechnungen!D78, "")</f>
        <v/>
      </c>
    </row>
    <row r="34" spans="1:10" x14ac:dyDescent="0.2">
      <c r="B34" s="82" t="str">
        <f>IFERROR(IF(ISNUMBER(Berechnungen!D77), Berechnungen!D77, IF(AND(ISNUMBER(B33), B33&gt;0), 0, "")), "")</f>
        <v/>
      </c>
      <c r="C34" s="16">
        <v>7</v>
      </c>
      <c r="D34" s="11" t="s">
        <v>43</v>
      </c>
      <c r="E34" s="89"/>
      <c r="F34" s="5"/>
      <c r="G34" s="79"/>
      <c r="H34" s="79"/>
      <c r="I34" s="16"/>
      <c r="J34" s="11"/>
    </row>
    <row r="35" spans="1:10" x14ac:dyDescent="0.2">
      <c r="B35" s="82" t="str">
        <f>IFERROR(IF(ISNUMBER(Berechnungen!D71), Berechnungen!D71, IF(AND(ISNUMBER(B34), B34&gt;0), 0, "")), "")</f>
        <v/>
      </c>
      <c r="C35" s="16">
        <v>7.5</v>
      </c>
      <c r="D35" s="11" t="s">
        <v>72</v>
      </c>
      <c r="E35" s="89"/>
      <c r="F35" s="5"/>
      <c r="G35" s="79" t="str" cm="1">
        <f t="array" aca="1" ref="G35" ca="1">IF(ISNUMBER(INDIRECT(ADDRESS(ROW(), COLUMN()-1))), INDIRECT(ADDRESS(ROW(), COLUMN()-1)), "")</f>
        <v/>
      </c>
      <c r="H35" s="79" t="str">
        <f ca="1">G35</f>
        <v/>
      </c>
      <c r="I35" s="16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Berechnungen!D78, "")</f>
        <v/>
      </c>
    </row>
    <row r="36" spans="1:10" ht="16" thickBot="1" x14ac:dyDescent="0.25">
      <c r="B36" s="83" t="str">
        <f>IFERROR(IF(AND(ISNUMBER(B35), B35&gt;0), 0, ""), "")</f>
        <v/>
      </c>
      <c r="C36" s="84">
        <v>8</v>
      </c>
      <c r="D36" s="13" t="s">
        <v>44</v>
      </c>
      <c r="E36" s="89"/>
      <c r="F36" s="5"/>
      <c r="G36" s="79"/>
      <c r="H36" s="79"/>
      <c r="I36" s="16"/>
      <c r="J36" s="11"/>
    </row>
    <row r="37" spans="1:10" ht="16" thickBot="1" x14ac:dyDescent="0.25">
      <c r="E37" s="90"/>
      <c r="F37" s="6"/>
      <c r="G37" s="80" t="str" cm="1">
        <f t="array" aca="1" ref="G37" ca="1">IF(ISNUMBER(INDIRECT(ADDRESS(ROW(), COLUMN()-1))), INDIRECT(ADDRESS(ROW(), COLUMN()-1)), "")</f>
        <v/>
      </c>
      <c r="H37" s="80" t="str">
        <f ca="1">G37</f>
        <v/>
      </c>
      <c r="I37" s="84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Berechnungen!D78, "")</f>
        <v/>
      </c>
    </row>
    <row r="39" spans="1:10" x14ac:dyDescent="0.2">
      <c r="B39" s="16"/>
      <c r="C39" s="16"/>
    </row>
    <row r="45" spans="1:10" x14ac:dyDescent="0.2">
      <c r="A45">
        <v>1</v>
      </c>
      <c r="B45">
        <v>0</v>
      </c>
    </row>
    <row r="46" spans="1:10" x14ac:dyDescent="0.2">
      <c r="A46">
        <f>D18</f>
        <v>4</v>
      </c>
      <c r="B46">
        <v>0</v>
      </c>
    </row>
    <row r="50" spans="1:4" ht="16" thickBot="1" x14ac:dyDescent="0.25"/>
    <row r="51" spans="1:4" ht="16" thickBot="1" x14ac:dyDescent="0.25">
      <c r="A51" s="92" t="s">
        <v>114</v>
      </c>
      <c r="B51" s="93"/>
      <c r="C51" s="93"/>
      <c r="D51" s="94"/>
    </row>
    <row r="52" spans="1:4" x14ac:dyDescent="0.2">
      <c r="A52" s="14">
        <v>0</v>
      </c>
      <c r="B52">
        <v>1</v>
      </c>
      <c r="C52" s="116" cm="1">
        <f t="array" ref="C52:C58">_xlfn._xlws.FILTER(A52:A66, A52:A66&lt;&gt;"")</f>
        <v>0</v>
      </c>
      <c r="D52" s="11" cm="1">
        <f t="array" ref="D52:D58">_xlfn._xlws.FILTER(B52:B66, A52:A66&lt;&gt;"")</f>
        <v>1</v>
      </c>
    </row>
    <row r="53" spans="1:4" x14ac:dyDescent="0.2">
      <c r="A53" s="14">
        <f>IFERROR(IF(AND(ISNUMBER(Berechnungen!D100), Berechnungen!D100&lt;&gt;0), Berechnungen!D100, IF(AND(ISNUMBER(A52), ABS(A52)&lt;&gt;0), 0, "")), "")</f>
        <v>1.0874747935517234E-3</v>
      </c>
      <c r="B53">
        <v>1.5</v>
      </c>
      <c r="C53" s="116">
        <v>1.0874747935517234E-3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116">
        <v>0</v>
      </c>
      <c r="D54" s="11">
        <v>2</v>
      </c>
    </row>
    <row r="55" spans="1:4" x14ac:dyDescent="0.2">
      <c r="A55" s="14">
        <f>IFERROR(IF(AND(ISNUMBER(Berechnungen!D101), Berechnungen!D101&lt;&gt;0), Berechnungen!D101, IF(AND(ISNUMBER(A54), ABS(A54)&lt;&gt;0), 0, "")), "")</f>
        <v>8.3159837153955324E-5</v>
      </c>
      <c r="B55">
        <v>2.5</v>
      </c>
      <c r="C55" s="116">
        <v>8.3159837153955324E-5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116">
        <v>0</v>
      </c>
      <c r="D56" s="11">
        <v>3</v>
      </c>
    </row>
    <row r="57" spans="1:4" x14ac:dyDescent="0.2">
      <c r="A57" s="14">
        <f>IFERROR(IF(AND(ISNUMBER(Berechnungen!D102), Berechnungen!D102&lt;&gt;0), Berechnungen!D102, IF(AND(ISNUMBER(A56), ABS(A56)&lt;&gt;0), 0, "")), "")</f>
        <v>1.0874747935517234E-3</v>
      </c>
      <c r="B57">
        <v>3.5</v>
      </c>
      <c r="C57" s="116">
        <v>1.0874747935517234E-3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116">
        <v>0</v>
      </c>
      <c r="D58" s="11">
        <v>4</v>
      </c>
    </row>
    <row r="59" spans="1:4" x14ac:dyDescent="0.2">
      <c r="A59" s="14" t="str">
        <f>IFERROR(IF(AND(ISNUMBER(Berechnungen!D103), Berechnungen!D103&lt;&gt;0), Berechnungen!D103, IF(AND(ISNUMBER(A58), ABS(A58)&lt;&gt;0), 0, "")), "")</f>
        <v/>
      </c>
      <c r="B59">
        <v>4.5</v>
      </c>
      <c r="C59" s="116"/>
      <c r="D59" s="11"/>
    </row>
    <row r="60" spans="1:4" x14ac:dyDescent="0.2">
      <c r="A60" s="14" t="str">
        <f>IF(ISNUMBER(A59), 0, "")</f>
        <v/>
      </c>
      <c r="B60">
        <v>5</v>
      </c>
      <c r="C60" s="116"/>
      <c r="D60" s="11"/>
    </row>
    <row r="61" spans="1:4" x14ac:dyDescent="0.2">
      <c r="A61" s="14" t="str">
        <f>IFERROR(IF(AND(ISNUMBER(Berechnungen!D104), Berechnungen!D104&lt;&gt;0), Berechnungen!D104, IF(AND(ISNUMBER(A60), ABS(A60)&lt;&gt;0), 0, "")), "")</f>
        <v/>
      </c>
      <c r="B61">
        <v>5.5</v>
      </c>
      <c r="C61" s="116"/>
      <c r="D61" s="11"/>
    </row>
    <row r="62" spans="1:4" x14ac:dyDescent="0.2">
      <c r="A62" s="14" t="str">
        <f>IF(ISNUMBER(A61), 0, "")</f>
        <v/>
      </c>
      <c r="B62">
        <v>6</v>
      </c>
      <c r="C62" s="116"/>
      <c r="D62" s="11"/>
    </row>
    <row r="63" spans="1:4" x14ac:dyDescent="0.2">
      <c r="A63" s="14" t="str">
        <f>IFERROR(IF(AND(ISNUMBER(Berechnungen!D105), Berechnungen!D105&lt;&gt;0), Berechnungen!D105, IF(AND(ISNUMBER(A62), ABS(A62)&lt;&gt;0), 0, "")), "")</f>
        <v/>
      </c>
      <c r="B63">
        <v>6.5</v>
      </c>
      <c r="C63" s="116"/>
      <c r="D63" s="11"/>
    </row>
    <row r="64" spans="1:4" x14ac:dyDescent="0.2">
      <c r="A64" s="14" t="str">
        <f>IF(ISNUMBER(A63), 0, "")</f>
        <v/>
      </c>
      <c r="B64">
        <v>7</v>
      </c>
      <c r="C64" s="116"/>
      <c r="D64" s="11"/>
    </row>
    <row r="65" spans="1:4" x14ac:dyDescent="0.2">
      <c r="A65" s="14" t="str">
        <f>IFERROR(IF(AND(ISNUMBER(Berechnungen!D106), Berechnungen!D106&lt;&gt;0), Berechnungen!D106, IF(AND(ISNUMBER(A64), ABS(A64)&lt;&gt;0), 0, "")), "")</f>
        <v/>
      </c>
      <c r="B65">
        <v>7.5</v>
      </c>
      <c r="C65" s="116"/>
      <c r="D65" s="11"/>
    </row>
    <row r="66" spans="1:4" ht="16" thickBot="1" x14ac:dyDescent="0.25">
      <c r="A66" s="95" t="str">
        <f>IF(ISNUMBER(A65), 0, "")</f>
        <v/>
      </c>
      <c r="B66" s="96">
        <v>8</v>
      </c>
      <c r="C66" s="117"/>
      <c r="D66" s="13"/>
    </row>
  </sheetData>
  <sheetProtection algorithmName="SHA-512" hashValue="xElGXMSaiJhTWEXkulVGEE0jgXikOZ6AbpSd6x0hHJdjby/kcE3htWxuDUHKKR5MgqRM1yACD+eJ7ha4Xi7AGA==" saltValue="oToIznZYwwARI5JV/gjG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2025-05-06T07:18:13Z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