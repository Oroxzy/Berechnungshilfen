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S Gerüstung/"/>
    </mc:Choice>
  </mc:AlternateContent>
  <xr:revisionPtr revIDLastSave="0" documentId="13_ncr:1_{28101F16-7623-8D48-B90B-39CA29C58453}" xr6:coauthVersionLast="47" xr6:coauthVersionMax="47" xr10:uidLastSave="{00000000-0000-0000-0000-000000000000}"/>
  <bookViews>
    <workbookView xWindow="0" yWindow="780" windowWidth="30200" windowHeight="20380" xr2:uid="{00000000-000D-0000-FFFF-FFFF00000000}"/>
  </bookViews>
  <sheets>
    <sheet name="Berechnungen" sheetId="1" r:id="rId1"/>
    <sheet name="Rundungen" sheetId="4" r:id="rId2"/>
    <sheet name="Doka20" sheetId="3" r:id="rId3"/>
    <sheet name="Durchlaufende Träger" sheetId="2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" l="1"/>
  <c r="B28" i="1" s="1" a="1"/>
  <c r="B28" i="1" s="1"/>
  <c r="A28" i="1"/>
  <c r="B106" i="1"/>
  <c r="D106" i="1" s="1"/>
  <c r="B105" i="1"/>
  <c r="D105" i="1" s="1"/>
  <c r="B104" i="1"/>
  <c r="D104" i="1" s="1"/>
  <c r="B103" i="1"/>
  <c r="D103" i="1" s="1"/>
  <c r="B100" i="1"/>
  <c r="D100" i="1" s="1"/>
  <c r="B102" i="1"/>
  <c r="D102" i="1" s="1"/>
  <c r="B101" i="1"/>
  <c r="D101" i="1" s="1"/>
  <c r="E77" i="1"/>
  <c r="F77" i="1" s="1"/>
  <c r="E76" i="1"/>
  <c r="F76" i="1" s="1"/>
  <c r="E75" i="1"/>
  <c r="F75" i="1" s="1"/>
  <c r="E74" i="1"/>
  <c r="F74" i="1" s="1"/>
  <c r="E73" i="1"/>
  <c r="F73" i="1" s="1"/>
  <c r="E72" i="1"/>
  <c r="F72" i="1" s="1"/>
  <c r="E71" i="1"/>
  <c r="F71" i="1" s="1"/>
  <c r="E70" i="1"/>
  <c r="F70" i="1" s="1"/>
  <c r="E69" i="1"/>
  <c r="F69" i="1" s="1"/>
  <c r="G23" i="4" a="1"/>
  <c r="A55" i="4" l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53" i="4"/>
  <c r="A54" i="4" s="1"/>
  <c r="G23" i="4"/>
  <c r="H23" i="4" s="1"/>
  <c r="D72" i="1" a="1"/>
  <c r="D72" i="1" s="1"/>
  <c r="B72" i="1" a="1"/>
  <c r="E68" i="1"/>
  <c r="F68" i="1" s="1"/>
  <c r="D15" i="1"/>
  <c r="E67" i="1"/>
  <c r="E66" i="1"/>
  <c r="E65" i="1"/>
  <c r="B15" i="1"/>
  <c r="B8" i="1"/>
  <c r="D13" i="1" s="1"/>
  <c r="B18" i="1" l="1"/>
  <c r="E29" i="1" s="1"/>
  <c r="B29" i="1" s="1" a="1"/>
  <c r="B29" i="1" s="1"/>
  <c r="B20" i="1"/>
  <c r="B19" i="1"/>
  <c r="B25" i="1"/>
  <c r="B24" i="1"/>
  <c r="B22" i="1"/>
  <c r="B21" i="1"/>
  <c r="B23" i="1"/>
  <c r="D52" i="4" a="1"/>
  <c r="D52" i="4" s="1"/>
  <c r="C52" i="4" a="1"/>
  <c r="C52" i="4" s="1"/>
  <c r="B72" i="1"/>
  <c r="B24" i="4" s="1"/>
  <c r="F67" i="1"/>
  <c r="F65" i="1"/>
  <c r="B65" i="1" a="1"/>
  <c r="F66" i="1"/>
  <c r="B13" i="1"/>
  <c r="I23" i="4" a="1"/>
  <c r="B3" i="4" l="1"/>
  <c r="E30" i="1"/>
  <c r="D21" i="1"/>
  <c r="D24" i="1"/>
  <c r="D18" i="1"/>
  <c r="D23" i="1"/>
  <c r="D25" i="1"/>
  <c r="D20" i="1"/>
  <c r="D19" i="1"/>
  <c r="D22" i="1"/>
  <c r="I23" i="4"/>
  <c r="B25" i="4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65" i="1"/>
  <c r="B23" i="4" s="1"/>
  <c r="D65" i="1" a="1"/>
  <c r="D65" i="1" s="1"/>
  <c r="B30" i="1" l="1" a="1"/>
  <c r="B30" i="1" s="1"/>
  <c r="E31" i="1"/>
  <c r="A30" i="1"/>
  <c r="A29" i="1"/>
  <c r="B78" i="1" a="1"/>
  <c r="B78" i="1" s="1"/>
  <c r="B107" i="1" a="1"/>
  <c r="B107" i="1" s="1"/>
  <c r="J23" i="4" a="1"/>
  <c r="B4" i="4" l="1"/>
  <c r="D30" i="1"/>
  <c r="B31" i="1" a="1"/>
  <c r="B31" i="1" s="1"/>
  <c r="D31" i="1" s="1"/>
  <c r="E32" i="1"/>
  <c r="J23" i="4"/>
  <c r="B5" i="4" l="1"/>
  <c r="B32" i="1" a="1"/>
  <c r="B32" i="1" s="1"/>
  <c r="D32" i="1" s="1"/>
  <c r="E33" i="1"/>
  <c r="A31" i="1"/>
  <c r="B6" i="4" l="1"/>
  <c r="B33" i="1" a="1"/>
  <c r="B33" i="1" s="1"/>
  <c r="E34" i="1"/>
  <c r="A32" i="1"/>
  <c r="B7" i="4" l="1"/>
  <c r="D33" i="1"/>
  <c r="B34" i="1" a="1"/>
  <c r="B34" i="1" s="1"/>
  <c r="E35" i="1"/>
  <c r="A33" i="1"/>
  <c r="B8" i="4" l="1"/>
  <c r="D34" i="1"/>
  <c r="B35" i="1" a="1"/>
  <c r="B35" i="1" s="1"/>
  <c r="E36" i="1"/>
  <c r="A34" i="1"/>
  <c r="B9" i="4" l="1"/>
  <c r="D36" i="1"/>
  <c r="D35" i="1"/>
  <c r="B36" i="1" a="1"/>
  <c r="B36" i="1" s="1"/>
  <c r="E37" i="1"/>
  <c r="A35" i="1"/>
  <c r="B10" i="4" l="1"/>
  <c r="B37" i="1" a="1"/>
  <c r="B37" i="1" s="1"/>
  <c r="D37" i="1" s="1"/>
  <c r="E38" i="1"/>
  <c r="A36" i="1"/>
  <c r="B11" i="4" l="1"/>
  <c r="B38" i="1" a="1"/>
  <c r="B38" i="1" s="1"/>
  <c r="D38" i="1" s="1"/>
  <c r="E39" i="1"/>
  <c r="A37" i="1"/>
  <c r="B12" i="4" l="1"/>
  <c r="B39" i="1" a="1"/>
  <c r="B39" i="1" s="1"/>
  <c r="D39" i="1" s="1"/>
  <c r="E40" i="1"/>
  <c r="A38" i="1"/>
  <c r="B13" i="4" l="1"/>
  <c r="B40" i="1" a="1"/>
  <c r="B40" i="1" s="1"/>
  <c r="D40" i="1" s="1"/>
  <c r="E41" i="1"/>
  <c r="A39" i="1"/>
  <c r="B14" i="4" l="1"/>
  <c r="B41" i="1" a="1"/>
  <c r="B41" i="1" s="1"/>
  <c r="D41" i="1" s="1"/>
  <c r="E42" i="1"/>
  <c r="A40" i="1"/>
  <c r="B15" i="4" l="1"/>
  <c r="B42" i="1" a="1"/>
  <c r="B42" i="1" s="1"/>
  <c r="B16" i="4" s="1"/>
  <c r="E43" i="1"/>
  <c r="A41" i="1"/>
  <c r="B43" i="1" l="1" a="1"/>
  <c r="B43" i="1" s="1"/>
  <c r="B17" i="4" s="1"/>
  <c r="D42" i="1"/>
  <c r="D43" i="1"/>
  <c r="A42" i="1"/>
  <c r="A43" i="1"/>
  <c r="E23" i="4" l="1" a="1"/>
  <c r="E23" i="4" s="1"/>
  <c r="F24" i="4" l="1" a="1"/>
  <c r="G35" i="4" a="1"/>
  <c r="G31" i="4" a="1"/>
  <c r="G25" i="4" a="1"/>
  <c r="G37" i="4" a="1"/>
  <c r="G27" i="4" a="1"/>
  <c r="G33" i="4" a="1"/>
  <c r="G29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37" i="4" a="1"/>
  <c r="I31" i="4" a="1"/>
  <c r="I35" i="4" a="1"/>
  <c r="I33" i="4" a="1"/>
  <c r="I27" i="4" a="1"/>
  <c r="I29" i="4" a="1"/>
  <c r="I25" i="4" a="1"/>
  <c r="I35" i="4" l="1"/>
  <c r="I37" i="4"/>
  <c r="I31" i="4"/>
  <c r="I33" i="4"/>
  <c r="I25" i="4"/>
  <c r="I27" i="4"/>
  <c r="I29" i="4"/>
  <c r="J27" i="4" a="1"/>
  <c r="J35" i="4" a="1"/>
  <c r="J33" i="4" a="1"/>
  <c r="J25" i="4" a="1"/>
  <c r="J31" i="4" a="1"/>
  <c r="J37" i="4" a="1"/>
  <c r="J29" i="4" a="1"/>
  <c r="J37" i="4" l="1"/>
  <c r="J35" i="4"/>
  <c r="J33" i="4"/>
  <c r="J31" i="4"/>
  <c r="J29" i="4"/>
  <c r="J27" i="4"/>
  <c r="J25" i="4"/>
  <c r="B44" i="1" a="1"/>
  <c r="B44" i="1" s="1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<sst xmlns="http://schemas.openxmlformats.org/spreadsheetml/2006/main" count="188" uniqueCount="116">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</sst>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FFB3BA"/>
        <bgColor indexed="64"/>
      </patternFill>
    </fill>
    <fill>
      <patternFill patternType="solid">
        <fgColor rgb="FFFFDFBA"/>
        <bgColor indexed="64"/>
      </patternFill>
    </fill>
    <fill>
      <patternFill patternType="solid">
        <fgColor rgb="FFD2BAFF"/>
        <bgColor indexed="64"/>
      </patternFill>
    </fill>
    <fill>
      <patternFill patternType="solid">
        <fgColor rgb="FFFFFFE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33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0" borderId="7" xfId="0" applyFont="1" applyBorder="1"/>
    <xf numFmtId="0" fontId="1" fillId="5" borderId="16" xfId="0" applyFont="1" applyFill="1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6" xfId="0" applyFont="1" applyFill="1" applyBorder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1" fillId="2" borderId="31" xfId="1" applyFont="1" applyBorder="1" applyAlignment="1" applyProtection="1">
      <alignment horizontal="right"/>
      <protection locked="0"/>
    </xf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4" fillId="5" borderId="16" xfId="0" applyFont="1" applyFill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4" fontId="11" fillId="2" borderId="2" xfId="1" applyNumberFormat="1" applyFont="1" applyProtection="1">
      <protection locked="0"/>
    </xf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6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2" xfId="3" applyFont="1" applyBorder="1" applyProtection="1"/>
    <xf numFmtId="0" fontId="8" fillId="0" borderId="34" xfId="0" applyFont="1" applyBorder="1"/>
    <xf numFmtId="0" fontId="8" fillId="4" borderId="35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0" fillId="0" borderId="11" xfId="0" applyNumberFormat="1" applyBorder="1"/>
    <xf numFmtId="4" fontId="8" fillId="18" borderId="29" xfId="0" applyNumberFormat="1" applyFont="1" applyFill="1" applyBorder="1"/>
    <xf numFmtId="0" fontId="8" fillId="7" borderId="33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19" borderId="29" xfId="0" applyNumberFormat="1" applyFont="1" applyFill="1" applyBorder="1"/>
    <xf numFmtId="4" fontId="8" fillId="20" borderId="29" xfId="0" applyNumberFormat="1" applyFont="1" applyFill="1" applyBorder="1"/>
    <xf numFmtId="4" fontId="8" fillId="21" borderId="29" xfId="0" applyNumberFormat="1" applyFont="1" applyFill="1" applyBorder="1"/>
    <xf numFmtId="4" fontId="8" fillId="22" borderId="29" xfId="0" applyNumberFormat="1" applyFont="1" applyFill="1" applyBorder="1"/>
    <xf numFmtId="4" fontId="8" fillId="23" borderId="29" xfId="0" applyNumberFormat="1" applyFont="1" applyFill="1" applyBorder="1"/>
    <xf numFmtId="4" fontId="8" fillId="24" borderId="29" xfId="0" applyNumberFormat="1" applyFont="1" applyFill="1" applyBorder="1"/>
    <xf numFmtId="4" fontId="8" fillId="20" borderId="30" xfId="0" applyNumberFormat="1" applyFont="1" applyFill="1" applyBorder="1"/>
    <xf numFmtId="4" fontId="8" fillId="20" borderId="28" xfId="0" applyNumberFormat="1" applyFont="1" applyFill="1" applyBorder="1"/>
    <xf numFmtId="4" fontId="8" fillId="18" borderId="28" xfId="0" applyNumberFormat="1" applyFont="1" applyFill="1" applyBorder="1"/>
    <xf numFmtId="4" fontId="8" fillId="19" borderId="30" xfId="0" applyNumberFormat="1" applyFont="1" applyFill="1" applyBorder="1"/>
    <xf numFmtId="4" fontId="8" fillId="19" borderId="33" xfId="0" applyNumberFormat="1" applyFont="1" applyFill="1" applyBorder="1"/>
    <xf numFmtId="4" fontId="8" fillId="0" borderId="29" xfId="0" applyNumberFormat="1" applyFont="1" applyFill="1" applyBorder="1"/>
    <xf numFmtId="0" fontId="8" fillId="6" borderId="41" xfId="0" applyFont="1" applyFill="1" applyBorder="1"/>
    <xf numFmtId="0" fontId="8" fillId="7" borderId="40" xfId="0" applyFont="1" applyFill="1" applyBorder="1"/>
    <xf numFmtId="0" fontId="8" fillId="7" borderId="41" xfId="0" applyFont="1" applyFill="1" applyBorder="1"/>
    <xf numFmtId="0" fontId="8" fillId="8" borderId="40" xfId="0" applyFont="1" applyFill="1" applyBorder="1"/>
    <xf numFmtId="0" fontId="8" fillId="8" borderId="41" xfId="0" applyFont="1" applyFill="1" applyBorder="1"/>
    <xf numFmtId="0" fontId="8" fillId="9" borderId="40" xfId="0" applyFont="1" applyFill="1" applyBorder="1"/>
    <xf numFmtId="0" fontId="8" fillId="9" borderId="41" xfId="0" applyFont="1" applyFill="1" applyBorder="1"/>
    <xf numFmtId="0" fontId="8" fillId="10" borderId="40" xfId="0" applyFont="1" applyFill="1" applyBorder="1"/>
    <xf numFmtId="0" fontId="8" fillId="10" borderId="41" xfId="0" applyFont="1" applyFill="1" applyBorder="1"/>
    <xf numFmtId="0" fontId="8" fillId="11" borderId="40" xfId="0" applyFont="1" applyFill="1" applyBorder="1"/>
    <xf numFmtId="0" fontId="8" fillId="11" borderId="41" xfId="0" applyFont="1" applyFill="1" applyBorder="1"/>
    <xf numFmtId="0" fontId="8" fillId="12" borderId="40" xfId="0" applyFont="1" applyFill="1" applyBorder="1"/>
    <xf numFmtId="0" fontId="8" fillId="12" borderId="41" xfId="0" applyFont="1" applyFill="1" applyBorder="1"/>
    <xf numFmtId="0" fontId="8" fillId="6" borderId="1" xfId="0" applyFont="1" applyFill="1" applyBorder="1"/>
    <xf numFmtId="3" fontId="16" fillId="0" borderId="0" xfId="0" applyNumberFormat="1" applyFont="1"/>
    <xf numFmtId="167" fontId="16" fillId="0" borderId="0" xfId="0" applyNumberFormat="1" applyFont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  <a:alpha val="6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10.390189999999999</c:v>
                </c:pt>
                <c:pt idx="2">
                  <c:v>-14.102879999999999</c:v>
                </c:pt>
                <c:pt idx="3">
                  <c:v>4.5139899999999988</c:v>
                </c:pt>
                <c:pt idx="4">
                  <c:v>-10.350124999999998</c:v>
                </c:pt>
                <c:pt idx="5">
                  <c:v>5.8761999999999999</c:v>
                </c:pt>
                <c:pt idx="6">
                  <c:v>-11.284974999999999</c:v>
                </c:pt>
                <c:pt idx="7">
                  <c:v>6.0097499999999995</c:v>
                </c:pt>
                <c:pt idx="8">
                  <c:v>-11.284974999999999</c:v>
                </c:pt>
                <c:pt idx="9">
                  <c:v>5.8761999999999999</c:v>
                </c:pt>
                <c:pt idx="10">
                  <c:v>-10.350124999999998</c:v>
                </c:pt>
                <c:pt idx="11">
                  <c:v>4.5139899999999988</c:v>
                </c:pt>
                <c:pt idx="12">
                  <c:v>-14.102879999999999</c:v>
                </c:pt>
                <c:pt idx="13">
                  <c:v>10.390189999999999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10.52374</c:v>
                </c:pt>
                <c:pt idx="2">
                  <c:v>-16.186259999999997</c:v>
                </c:pt>
                <c:pt idx="3">
                  <c:v>14.102879999999995</c:v>
                </c:pt>
                <c:pt idx="4">
                  <c:v>-12.607120000000002</c:v>
                </c:pt>
                <c:pt idx="5">
                  <c:v>13.168029999999995</c:v>
                </c:pt>
                <c:pt idx="6">
                  <c:v>-13.541970000000003</c:v>
                </c:pt>
                <c:pt idx="7">
                  <c:v>13.354999999999993</c:v>
                </c:pt>
                <c:pt idx="8">
                  <c:v>-13.354999999999993</c:v>
                </c:pt>
                <c:pt idx="9">
                  <c:v>13.541970000000003</c:v>
                </c:pt>
                <c:pt idx="10">
                  <c:v>-13.168029999999995</c:v>
                </c:pt>
                <c:pt idx="11">
                  <c:v>12.607120000000002</c:v>
                </c:pt>
                <c:pt idx="12">
                  <c:v>-14.102879999999995</c:v>
                </c:pt>
                <c:pt idx="13">
                  <c:v>16.186259999999997</c:v>
                </c:pt>
                <c:pt idx="14">
                  <c:v>-10.52374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14.103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>
                  <a:alpha val="6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xVal>
          <c:yVal>
            <c:numRef>
              <c:f>Rundungen!$C$52:$C$66</c:f>
              <c:numCache>
                <c:formatCode>#,##0.00</c:formatCode>
                <c:ptCount val="15"/>
                <c:pt idx="0">
                  <c:v>0</c:v>
                </c:pt>
                <c:pt idx="1">
                  <c:v>3.6169791666666664</c:v>
                </c:pt>
                <c:pt idx="2">
                  <c:v>0</c:v>
                </c:pt>
                <c:pt idx="3">
                  <c:v>0.8903333333333332</c:v>
                </c:pt>
                <c:pt idx="4">
                  <c:v>0</c:v>
                </c:pt>
                <c:pt idx="5">
                  <c:v>1.6137291666666664</c:v>
                </c:pt>
                <c:pt idx="6">
                  <c:v>0</c:v>
                </c:pt>
                <c:pt idx="7">
                  <c:v>1.3354999999999999</c:v>
                </c:pt>
                <c:pt idx="8">
                  <c:v>0</c:v>
                </c:pt>
                <c:pt idx="9">
                  <c:v>1.6137291666666664</c:v>
                </c:pt>
                <c:pt idx="10">
                  <c:v>0</c:v>
                </c:pt>
                <c:pt idx="11">
                  <c:v>0.8903333333333332</c:v>
                </c:pt>
                <c:pt idx="12">
                  <c:v>0</c:v>
                </c:pt>
                <c:pt idx="13">
                  <c:v>3.6169791666666664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78</xdr:row>
      <xdr:rowOff>101600</xdr:rowOff>
    </xdr:from>
    <xdr:to>
      <xdr:col>3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68039</xdr:colOff>
      <xdr:row>44</xdr:row>
      <xdr:rowOff>45358</xdr:rowOff>
    </xdr:from>
    <xdr:to>
      <xdr:col>3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35607</xdr:colOff>
      <xdr:row>107</xdr:row>
      <xdr:rowOff>82016</xdr:rowOff>
    </xdr:from>
    <xdr:to>
      <xdr:col>3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26"/>
  <sheetViews>
    <sheetView showGridLines="0" tabSelected="1" zoomScale="141" zoomScaleNormal="166" workbookViewId="0">
      <selection activeCell="B4" sqref="B4"/>
    </sheetView>
  </sheetViews>
  <sheetFormatPr baseColWidth="10" defaultColWidth="8.83203125" defaultRowHeight="15" x14ac:dyDescent="0.2"/>
  <cols>
    <col min="1" max="1" width="37" style="23" bestFit="1" customWidth="1"/>
    <col min="2" max="2" width="13.6640625" style="23" customWidth="1"/>
    <col min="3" max="3" width="6.83203125" style="23" customWidth="1"/>
    <col min="4" max="4" width="55" style="23" customWidth="1"/>
    <col min="5" max="5" width="16.33203125" style="23" bestFit="1" customWidth="1"/>
    <col min="6" max="6" width="24.6640625" style="23" bestFit="1" customWidth="1"/>
    <col min="7" max="16384" width="8.83203125" style="23"/>
  </cols>
  <sheetData>
    <row r="1" spans="1:4" ht="20" thickBot="1" x14ac:dyDescent="0.3">
      <c r="A1" s="20" t="s">
        <v>0</v>
      </c>
      <c r="B1" s="21"/>
      <c r="C1" s="21"/>
      <c r="D1" s="22" t="s">
        <v>1</v>
      </c>
    </row>
    <row r="2" spans="1:4" ht="16" thickBot="1" x14ac:dyDescent="0.25"/>
    <row r="3" spans="1:4" ht="16" thickBot="1" x14ac:dyDescent="0.25">
      <c r="A3" s="16" t="s">
        <v>2</v>
      </c>
      <c r="B3" s="17" t="s">
        <v>3</v>
      </c>
      <c r="C3" s="17" t="s">
        <v>4</v>
      </c>
      <c r="D3" s="24"/>
    </row>
    <row r="4" spans="1:4" ht="16" x14ac:dyDescent="0.2">
      <c r="A4" s="25" t="s">
        <v>5</v>
      </c>
      <c r="B4" s="26" t="s">
        <v>6</v>
      </c>
      <c r="C4" s="15"/>
      <c r="D4" s="27" t="s">
        <v>7</v>
      </c>
    </row>
    <row r="5" spans="1:4" ht="16" x14ac:dyDescent="0.2">
      <c r="A5" s="28" t="s">
        <v>8</v>
      </c>
      <c r="B5" s="29">
        <v>5</v>
      </c>
      <c r="C5" s="23" t="s">
        <v>9</v>
      </c>
      <c r="D5" s="30" t="s">
        <v>10</v>
      </c>
    </row>
    <row r="6" spans="1:4" ht="16" x14ac:dyDescent="0.2">
      <c r="A6" s="28" t="s">
        <v>11</v>
      </c>
      <c r="B6" s="29">
        <v>35</v>
      </c>
      <c r="C6" s="23" t="s">
        <v>12</v>
      </c>
      <c r="D6" s="30" t="s">
        <v>88</v>
      </c>
    </row>
    <row r="7" spans="1:4" ht="16" x14ac:dyDescent="0.2">
      <c r="A7" s="28" t="s">
        <v>13</v>
      </c>
      <c r="B7" s="29">
        <v>0.5</v>
      </c>
      <c r="C7" s="23" t="s">
        <v>9</v>
      </c>
      <c r="D7" s="30" t="s">
        <v>88</v>
      </c>
    </row>
    <row r="8" spans="1:4" ht="16" x14ac:dyDescent="0.2">
      <c r="A8" s="28" t="s">
        <v>14</v>
      </c>
      <c r="B8" s="31">
        <f>VLOOKUP(Berechnungen!B6,Tabelle2[],2,FALSE)</f>
        <v>10.49</v>
      </c>
      <c r="C8" s="23" t="s">
        <v>15</v>
      </c>
      <c r="D8" s="30"/>
    </row>
    <row r="9" spans="1:4" ht="16" x14ac:dyDescent="0.2">
      <c r="A9" s="28" t="s">
        <v>16</v>
      </c>
      <c r="B9" s="29">
        <v>6000</v>
      </c>
      <c r="C9" s="23" t="s">
        <v>17</v>
      </c>
      <c r="D9" s="30" t="s">
        <v>87</v>
      </c>
    </row>
    <row r="10" spans="1:4" ht="17" thickBot="1" x14ac:dyDescent="0.25">
      <c r="A10" s="32" t="s">
        <v>18</v>
      </c>
      <c r="B10" s="33">
        <v>3</v>
      </c>
      <c r="C10" s="34"/>
      <c r="D10" s="35" t="s">
        <v>10</v>
      </c>
    </row>
    <row r="11" spans="1:4" ht="16" thickBot="1" x14ac:dyDescent="0.25"/>
    <row r="12" spans="1:4" ht="16" thickBot="1" x14ac:dyDescent="0.25">
      <c r="A12" s="36" t="s">
        <v>19</v>
      </c>
      <c r="B12" s="37" t="s">
        <v>20</v>
      </c>
      <c r="C12" s="37" t="s">
        <v>4</v>
      </c>
      <c r="D12" s="38" t="s">
        <v>21</v>
      </c>
    </row>
    <row r="13" spans="1:4" ht="16" x14ac:dyDescent="0.2">
      <c r="A13" s="25" t="s">
        <v>104</v>
      </c>
      <c r="B13" s="39">
        <f>(B8*B7)</f>
        <v>5.2450000000000001</v>
      </c>
      <c r="C13" s="40" t="s">
        <v>22</v>
      </c>
      <c r="D13" s="41" t="str">
        <f>B8 &amp; " kN/m * " &amp; ROUND(B7, B10) &amp; " m = " &amp; ROUND(B8 * ROUND(B7, B10), B10) &amp; " kN"</f>
        <v>10.49 kN/m * 0.5 m = 5.245 kN</v>
      </c>
    </row>
    <row r="14" spans="1:4" ht="16" x14ac:dyDescent="0.2">
      <c r="A14" s="28" t="s">
        <v>105</v>
      </c>
      <c r="B14" s="42">
        <v>5.3419999999999996</v>
      </c>
      <c r="C14" s="43" t="s">
        <v>22</v>
      </c>
      <c r="D14" s="30" t="s">
        <v>89</v>
      </c>
    </row>
    <row r="15" spans="1:4" ht="17" thickBot="1" x14ac:dyDescent="0.25">
      <c r="A15" s="32" t="s">
        <v>23</v>
      </c>
      <c r="B15" s="45">
        <f>(B14*B5)</f>
        <v>26.709999999999997</v>
      </c>
      <c r="C15" s="46" t="s">
        <v>24</v>
      </c>
      <c r="D15" s="47" t="str">
        <f>B14 &amp; " kN * " &amp; ROUND(B5, B10) &amp; " = " &amp; ROUND(B14 * ROUND(B5, B10), B10) &amp; " kN"</f>
        <v>5.342 kN * 5 = 26.71 kN</v>
      </c>
    </row>
    <row r="16" spans="1:4" ht="16" thickBot="1" x14ac:dyDescent="0.25"/>
    <row r="17" spans="1:5" ht="16" thickBot="1" x14ac:dyDescent="0.25">
      <c r="A17" s="36" t="s">
        <v>25</v>
      </c>
      <c r="B17" s="37" t="s">
        <v>20</v>
      </c>
      <c r="C17" s="37" t="s">
        <v>4</v>
      </c>
      <c r="D17" s="38" t="s">
        <v>21</v>
      </c>
    </row>
    <row r="18" spans="1:5" x14ac:dyDescent="0.2">
      <c r="A18" s="48" t="s">
        <v>90</v>
      </c>
      <c r="B18" s="112">
        <f>VLOOKUP(B4,'Durchlaufende Träger'!$A$2:$B$8,2,FALSE) * B15</f>
        <v>10.52374</v>
      </c>
      <c r="C18" s="40" t="s">
        <v>24</v>
      </c>
      <c r="D18" s="49" t="str">
        <f>IF(B18=0, "", VLOOKUP(B4, 'Durchlaufende Träger'!$A$2:$B$8, 2, FALSE) &amp; " * " &amp; ROUND(B15, B10) &amp; " kN = " &amp; ROUND(VLOOKUP(B4, 'Durchlaufende Träger'!$A$2:$B$8, 2, FALSE) * ROUND(B15, B10), B10) &amp; " kN")</f>
        <v>0.394 * 26.71 kN = 10.524 kN</v>
      </c>
    </row>
    <row r="19" spans="1:5" x14ac:dyDescent="0.2">
      <c r="A19" s="50" t="s">
        <v>91</v>
      </c>
      <c r="B19" s="98">
        <f>VLOOKUP(B4,'Durchlaufende Träger'!$A$2:$C$8,3,FALSE) * B15</f>
        <v>30.289139999999993</v>
      </c>
      <c r="C19" s="43" t="s">
        <v>24</v>
      </c>
      <c r="D19" s="51" t="str">
        <f>IF(B19=0, "", VLOOKUP(B4, 'Durchlaufende Träger'!$A$2:$C$8, 3, FALSE) &amp; " * " &amp; ROUND(B15, B10) &amp; " kN = " &amp; ROUND(VLOOKUP(B4, 'Durchlaufende Träger'!$A$2:$C$8, 3, FALSE) * ROUND(B15, B10), B10) &amp; " kN")</f>
        <v>1.134 * 26.71 kN = 30.289 kN</v>
      </c>
    </row>
    <row r="20" spans="1:5" x14ac:dyDescent="0.2">
      <c r="A20" s="52" t="s">
        <v>92</v>
      </c>
      <c r="B20" s="91">
        <f>VLOOKUP(B4,'Durchlaufende Träger'!$A$2:$D$8,4,FALSE) * B15</f>
        <v>25.775149999999996</v>
      </c>
      <c r="C20" s="43" t="s">
        <v>24</v>
      </c>
      <c r="D20" s="51" t="str">
        <f>IF(B20=0, "", VLOOKUP(B4, 'Durchlaufende Träger'!$A$2:$D$8, 4, FALSE) &amp; " * " &amp; ROUND(B15, B10) &amp; " kN = " &amp; ROUND(VLOOKUP(B4, 'Durchlaufende Träger'!$A$2:$D$8, 4, FALSE) * ROUND(B15, B10), B10) &amp; " kN")</f>
        <v>0.965 * 26.71 kN = 25.775 kN</v>
      </c>
    </row>
    <row r="21" spans="1:5" x14ac:dyDescent="0.2">
      <c r="A21" s="53" t="s">
        <v>93</v>
      </c>
      <c r="B21" s="92">
        <f>VLOOKUP(B4,'Durchlaufende Träger'!$A$2:$E$8,5,FALSE) * B15</f>
        <v>26.896969999999996</v>
      </c>
      <c r="C21" s="43" t="s">
        <v>24</v>
      </c>
      <c r="D21" s="51" t="str">
        <f>IF(B21=0, "", VLOOKUP(B4, 'Durchlaufende Träger'!$A$2:$E$8, 5, FALSE) &amp; " * " &amp; ROUND(B15, B10) &amp; " kN = " &amp; ROUND(VLOOKUP(B4, 'Durchlaufende Träger'!$A$2:$E$8, 5, FALSE) * ROUND(B15, B10), B10) &amp; " kN")</f>
        <v>1.007 * 26.71 kN = 26.897 kN</v>
      </c>
    </row>
    <row r="22" spans="1:5" x14ac:dyDescent="0.2">
      <c r="A22" s="54" t="s">
        <v>94</v>
      </c>
      <c r="B22" s="92">
        <f>VLOOKUP(B4,'Durchlaufende Träger'!$A$2:$F$8,6,FALSE) * B15</f>
        <v>26.896969999999996</v>
      </c>
      <c r="C22" s="43" t="s">
        <v>24</v>
      </c>
      <c r="D22" s="51" t="str">
        <f>IF(B22=0, "", VLOOKUP(B4, 'Durchlaufende Träger'!$A$2:$F$8, 6, FALSE) &amp; " * " &amp; ROUND(B15, B10) &amp; " kN = " &amp; ROUND(VLOOKUP(B4, 'Durchlaufende Träger'!$A$2:$F$8, 6, FALSE) * ROUND(B15, B10), B10) &amp; " kN")</f>
        <v>1.007 * 26.71 kN = 26.897 kN</v>
      </c>
    </row>
    <row r="23" spans="1:5" x14ac:dyDescent="0.2">
      <c r="A23" s="55" t="s">
        <v>95</v>
      </c>
      <c r="B23" s="91">
        <f>VLOOKUP(B4,'Durchlaufende Träger'!$A$2:$G$8,7,FALSE) * B15</f>
        <v>25.775149999999996</v>
      </c>
      <c r="C23" s="43" t="s">
        <v>24</v>
      </c>
      <c r="D23" s="51" t="str">
        <f>IF(B23=0, "", VLOOKUP(B4, 'Durchlaufende Träger'!$A$2:$G$8, 7, FALSE) &amp; " * " &amp; ROUND(B15, B10) &amp; " kN = " &amp; ROUND(VLOOKUP(B4, 'Durchlaufende Träger'!$A$2:$G$8, 7, FALSE) * ROUND(B15, B10), B10) &amp; " kN")</f>
        <v>0.965 * 26.71 kN = 25.775 kN</v>
      </c>
    </row>
    <row r="24" spans="1:5" x14ac:dyDescent="0.2">
      <c r="A24" s="56" t="s">
        <v>96</v>
      </c>
      <c r="B24" s="98">
        <f>VLOOKUP(B4,'Durchlaufende Träger'!$A$2:$H$8,8,FALSE) * B15</f>
        <v>30.289139999999993</v>
      </c>
      <c r="C24" s="43" t="s">
        <v>24</v>
      </c>
      <c r="D24" s="51" t="str">
        <f>IF(B24=0, "", VLOOKUP(B4, 'Durchlaufende Träger'!$A$2:$H$8, 8, FALSE) &amp; " * " &amp; ROUND(B15, B10) &amp; " kN = " &amp; ROUND(VLOOKUP(B4, 'Durchlaufende Träger'!$A$2:$H$8, 8, FALSE) * ROUND(B15, B10), B10) &amp; " kN")</f>
        <v>1.134 * 26.71 kN = 30.289 kN</v>
      </c>
    </row>
    <row r="25" spans="1:5" ht="16" thickBot="1" x14ac:dyDescent="0.25">
      <c r="A25" s="57" t="s">
        <v>97</v>
      </c>
      <c r="B25" s="111">
        <f>VLOOKUP(B4,'Durchlaufende Träger'!$A$2:$I$8,9,FALSE) * B15</f>
        <v>10.52374</v>
      </c>
      <c r="C25" s="46" t="s">
        <v>24</v>
      </c>
      <c r="D25" s="47" t="str">
        <f>IF(B25=0, "", VLOOKUP(B4, 'Durchlaufende Träger'!$A$2:$I$8, 9, FALSE) &amp; " * " &amp; ROUND(B15, B10) &amp; " kN = " &amp; ROUND(VLOOKUP(B4, 'Durchlaufende Träger'!$A$2:$I$8, 9, FALSE) * ROUND(B15, B10), B10) &amp; " kN")</f>
        <v>0.394 * 26.71 kN = 10.524 kN</v>
      </c>
    </row>
    <row r="26" spans="1:5" ht="16" thickBot="1" x14ac:dyDescent="0.25">
      <c r="A26" s="58"/>
      <c r="E26" s="75"/>
    </row>
    <row r="27" spans="1:5" ht="16" thickBot="1" x14ac:dyDescent="0.25">
      <c r="A27" s="36" t="s">
        <v>26</v>
      </c>
      <c r="B27" s="37" t="s">
        <v>20</v>
      </c>
      <c r="C27" s="37" t="s">
        <v>4</v>
      </c>
      <c r="D27" s="38" t="s">
        <v>21</v>
      </c>
      <c r="E27" s="131">
        <f>VLOOKUP(B4,Tabelle1[],30,FALSE)</f>
        <v>9</v>
      </c>
    </row>
    <row r="28" spans="1:5" x14ac:dyDescent="0.2">
      <c r="A28" s="130" t="str">
        <f>IF(E28="","",IF(E28=0,"Auflager 1, auf der Strecke",IF(E28&gt;0,"Auflager 1, unterhalb der Strecke","Auflager 1, oberhalb der Strecke")))</f>
        <v>Auflager 1, auf der Strecke</v>
      </c>
      <c r="B28" s="116" cm="1">
        <f t="array" ref="B28">IFERROR(IF(E28="", "", IF(ROW()-26 &lt; $E$27, E28, IF(ROW()-26 = $E$27, E28, IF(2 * $E$27 - (ROW()-26) &lt;= COUNT($E$28:$E$43), -INDEX($E$28:$E$43, 2 * $E$27 - (ROW()-26)), "")))), "")</f>
        <v>0</v>
      </c>
      <c r="C28" s="58" t="s">
        <v>24</v>
      </c>
      <c r="D28" s="30" t="s">
        <v>81</v>
      </c>
      <c r="E28" s="132">
        <v>0</v>
      </c>
    </row>
    <row r="29" spans="1:5" x14ac:dyDescent="0.2">
      <c r="A29" s="117" t="str">
        <f>IF(E29="","",IF(E29=0,"Auflager 1, auf der Strecke",IF(E29&gt;0,"Auflager 1, unterhalb der Strecke","Auflager 1, oberhalb der Strecke")))</f>
        <v>Auflager 1, unterhalb der Strecke</v>
      </c>
      <c r="B29" s="93" cm="1">
        <f t="array" ref="B29">IFERROR(IF(E29="", "", IF(ROW()-26 &lt; $E$27, E29, IF(ROW()-26 = $E$27, E29, IF(2 * $E$27 - (ROW()-26) &lt;= COUNT($E$28:$E$43), -INDEX($E$28:$E$43, 2 * $E$27 - (ROW()-26)), "")))), "")</f>
        <v>10.52374</v>
      </c>
      <c r="C29" s="58" t="s">
        <v>24</v>
      </c>
      <c r="D29" s="30" t="s">
        <v>73</v>
      </c>
      <c r="E29" s="132">
        <f>IF(B18=0,"",B18)</f>
        <v>10.52374</v>
      </c>
    </row>
    <row r="30" spans="1:5" x14ac:dyDescent="0.2">
      <c r="A30" s="118" t="str">
        <f>IF(E30="","",IF(E30=0,"Auflager 2, auf der Strecke",IF(E30&gt;0,"Auflager 2, unterhalb der Strecke","Auflager 2, oberhalb der Strecke")))</f>
        <v>Auflager 2, oberhalb der Strecke</v>
      </c>
      <c r="B30" s="105" cm="1">
        <f t="array" ref="B30">IFERROR(IF(E30="", "", IF(B29=0, "", IF(ROW()-26 &lt; $E$27, E30, IF(ROW()-26 = $E$27, E30, -INDEX($E$28:$E$43, 2 * $E$27 - (ROW()-26)))))), "")</f>
        <v>-16.186259999999997</v>
      </c>
      <c r="C30" s="58" t="s">
        <v>24</v>
      </c>
      <c r="D30" s="51" t="str">
        <f>IF(OR(B29=0, B29=""), "", ROUND(E29, B10) &amp; " kN - " &amp; ROUND($B$14, B10) &amp; " kN * " &amp; ROUND($B$5, B10) &amp; " = " &amp; B30 &amp; " kN")</f>
        <v>10.524 kN - 5.342 kN * 5 = -16.18626 kN</v>
      </c>
      <c r="E30" s="132">
        <f>IF(OR(E29=0, E29=""), "", E29 - B14 * B5)</f>
        <v>-16.186259999999997</v>
      </c>
    </row>
    <row r="31" spans="1:5" x14ac:dyDescent="0.2">
      <c r="A31" s="119" t="str">
        <f>IF(E31="","",IF(E31=0,"Auflager 2, auf der Strecke",IF(E31&gt;0,"Auflager 2, unterhalb der Strecke","Auflager 2, oberhalb der Strecke")))</f>
        <v>Auflager 2, unterhalb der Strecke</v>
      </c>
      <c r="B31" s="108" cm="1">
        <f t="array" ref="B31">IFERROR(IF(E31="", "", IF(B30=0, "", IF(ROW()-26 &lt; $E$27, E31, IF(ROW()-26 = $E$27, E31, -INDEX($E$28:$E$43, 2 * $E$27 - (ROW()-26)))))), "")</f>
        <v>14.102879999999995</v>
      </c>
      <c r="C31" s="58" t="s">
        <v>24</v>
      </c>
      <c r="D31" s="51" t="str">
        <f>IF(OR(B30=0, B30=""), "", ROUND(B19, B10) &amp; " kN + " &amp; ROUND(E30, B10) &amp; " kN = " &amp; B31 &amp; " kN")</f>
        <v>30.289 kN + -16.186 kN = 14.10288 kN</v>
      </c>
      <c r="E31" s="132">
        <f>IF(OR(B19=0, B19=""), "", E30 + B19)</f>
        <v>14.102879999999995</v>
      </c>
    </row>
    <row r="32" spans="1:5" x14ac:dyDescent="0.2">
      <c r="A32" s="120" t="str">
        <f>IF(E32="","",IF(E32=0,"Auflager 3, auf der Strecke",IF(E32&gt;0,"Auflager 3, unterhalb der Strecke","Auflager 3, oberhalb der Strecke")))</f>
        <v>Auflager 3, oberhalb der Strecke</v>
      </c>
      <c r="B32" s="107" cm="1">
        <f t="array" ref="B32">IFERROR(IF(E32="", "", IF(B31=0, "", IF(ROW()-26 &lt; $E$27, E32, IF(ROW()-26 = $E$27, E32, -INDEX($E$28:$E$43, 2 * $E$27 - (ROW()-26)))))), "")</f>
        <v>-12.607120000000002</v>
      </c>
      <c r="C32" s="58" t="s">
        <v>24</v>
      </c>
      <c r="D32" s="51" t="str">
        <f>IF(OR(B31=0, B31=""), "", ROUND(E31, B10) &amp; " kN - " &amp; ROUND($B$14, B10) &amp; " kN * " &amp; ROUND($B$5, B10) &amp; " = " &amp; B32 &amp; " kN")</f>
        <v>14.103 kN - 5.342 kN * 5 = -12.60712 kN</v>
      </c>
      <c r="E32" s="132">
        <f>IF(OR(E31=0, E31=""), "", E31 - B14 * B5)</f>
        <v>-12.607120000000002</v>
      </c>
    </row>
    <row r="33" spans="1:5" x14ac:dyDescent="0.2">
      <c r="A33" s="121" t="str">
        <f>IF(E33="","",IF(E33=0,"Auflager 3, auf der Strecke",IF(E33&gt;0,"Auflager 3, unterhalb der Strecke","Auflager 3, oberhalb der Strecke")))</f>
        <v>Auflager 3, unterhalb der Strecke</v>
      </c>
      <c r="B33" s="110" cm="1">
        <f t="array" ref="B33">IFERROR(IF(E33="", "", IF(B32=0, "", IF(ROW()-26 &lt; $E$27, E33, IF(ROW()-26 = $E$27, E33, -INDEX($E$28:$E$43, 2 * $E$27 - (ROW()-26)))))), "")</f>
        <v>13.168029999999995</v>
      </c>
      <c r="C33" s="58" t="s">
        <v>24</v>
      </c>
      <c r="D33" s="51" t="str">
        <f>IF(OR(B32=0, B32=""), "", ROUND(E32, B10) &amp; " kN + " &amp; ROUND(B20, B10) &amp; " kN = " &amp; B33 &amp; " kN")</f>
        <v>-12.607 kN + 25.775 kN = 13.16803 kN</v>
      </c>
      <c r="E33" s="132">
        <f>IF(OR(B20=0, B20=""), "", E32 + B20)</f>
        <v>13.168029999999995</v>
      </c>
    </row>
    <row r="34" spans="1:5" x14ac:dyDescent="0.2">
      <c r="A34" s="122" t="str">
        <f>IF(E34="","",IF(E34=0,"Auflager 4, auf der Strecke",IF(E34&gt;0,"Auflager 4, unterhalb der Strecke","Auflager 4, oberhalb der Strecke")))</f>
        <v>Auflager 4, oberhalb der Strecke</v>
      </c>
      <c r="B34" s="109" cm="1">
        <f t="array" ref="B34">IFERROR(IF(E34="", "", IF(B33=0, "", IF(ROW()-26 &lt; $E$27, E34, IF(ROW()-26 = $E$27, E34, -INDEX($E$28:$E$43, 2 * $E$27 - (ROW()-26)))))), "")</f>
        <v>-13.541970000000003</v>
      </c>
      <c r="C34" s="58" t="s">
        <v>24</v>
      </c>
      <c r="D34" s="51" t="str">
        <f>IF(OR(B33=0, B33=""), "", ROUND(E33, B10) &amp; " kN - " &amp; ROUND($B$14, B10) &amp; " kN * " &amp; ROUND($B$5, B10) &amp; " = " &amp; B34 &amp; " kN")</f>
        <v>13.168 kN - 5.342 kN * 5 = -13.54197 kN</v>
      </c>
      <c r="E34" s="132">
        <f>IF(OR(E33=0, E33=""), "", E33 - B14 * B5)</f>
        <v>-13.541970000000003</v>
      </c>
    </row>
    <row r="35" spans="1:5" x14ac:dyDescent="0.2">
      <c r="A35" s="123" t="str">
        <f>IF(E35="","",IF(E35=0,"Auflager 4, auf der Strecke",IF(E35&gt;0,"Auflager 4, unterhalb der Strecke","Auflager 4, oberhalb der Strecke")))</f>
        <v>Auflager 4, unterhalb der Strecke</v>
      </c>
      <c r="B35" s="106" cm="1">
        <f t="array" ref="B35">IFERROR(IF(E35="", "", IF(B34=0, "", IF(ROW()-26 &lt; $E$27, E35, IF(ROW()-26 = $E$27, E35, -INDEX($E$28:$E$43, 2 * $E$27 - (ROW()-26)))))), "")</f>
        <v>13.354999999999993</v>
      </c>
      <c r="C35" s="58" t="s">
        <v>24</v>
      </c>
      <c r="D35" s="51" t="str">
        <f>IF(OR(B34=0, B34=""), "", ROUND(E34, B10) &amp; " kN + " &amp; ROUND(B21, B10) &amp; " kN = " &amp; B35 &amp; " kN")</f>
        <v>-13.542 kN + 26.897 kN = 13.355 kN</v>
      </c>
      <c r="E35" s="132">
        <f>IF(OR(B21=0, B21=""), "", E34 + B21)</f>
        <v>13.354999999999993</v>
      </c>
    </row>
    <row r="36" spans="1:5" x14ac:dyDescent="0.2">
      <c r="A36" s="124" t="str">
        <f>IF(E36="","",IF(E36=0,"Auflager 5, auf der Strecke",IF(E36&gt;0,"Auflager 5, unterhalb der Strecke","Auflager 5, oberhalb der Strecke")))</f>
        <v>Auflager 5, oberhalb der Strecke</v>
      </c>
      <c r="B36" s="106" cm="1">
        <f t="array" ref="B36">IFERROR(IF(E36="", "", IF(B35=0, "", IF(ROW()-26 &lt; $E$27, E36, IF(ROW()-26 = $E$27, E36, -INDEX($E$28:$E$43, 2 * $E$27 - (ROW()-26)))))), "")</f>
        <v>-13.354999999999993</v>
      </c>
      <c r="C36" s="58" t="s">
        <v>24</v>
      </c>
      <c r="D36" s="51" t="str">
        <f>IF(OR(B35=0, B35=""), "", ROUND(E35, B10) &amp; " kN - " &amp; ROUND(B14, B10) &amp; " kN * " &amp; ROUND(B5, B10) &amp; " = " &amp; B35 &amp; " kN")</f>
        <v>13.355 kN - 5.342 kN * 5 = 13.355 kN</v>
      </c>
      <c r="E36" s="132">
        <f>IF(OR(E35=0, E35=""), "", E35 - B14 * B5)</f>
        <v>-13.355000000000004</v>
      </c>
    </row>
    <row r="37" spans="1:5" x14ac:dyDescent="0.2">
      <c r="A37" s="125" t="str">
        <f>IF(E37="","",IF(E37=0,"Auflager 5, auf der Strecke",IF(E37&gt;0,"Auflager 5, unterhalb der Strecke","Auflager 5, oberhalb der Strecke")))</f>
        <v>Auflager 5, unterhalb der Strecke</v>
      </c>
      <c r="B37" s="109" cm="1">
        <f t="array" ref="B37">IFERROR(IF(E37="", "", IF(B36=0, "", IF(ROW()-26 &lt; $E$27, E37, IF(ROW()-26 = $E$27, E37, -INDEX($E$28:$E$43, 2 * $E$27 - (ROW()-26)))))), "")</f>
        <v>13.541970000000003</v>
      </c>
      <c r="C37" s="58" t="s">
        <v>24</v>
      </c>
      <c r="D37" s="51" t="str">
        <f>IF(OR(B36=0, B36=""), "", ROUND(E36, B10) &amp; " kN + " &amp; ROUND(B22, B10) &amp; " kN = " &amp; B37 &amp; " kN")</f>
        <v>-13.355 kN + 26.897 kN = 13.54197 kN</v>
      </c>
      <c r="E37" s="132">
        <f>IF(OR(B22=0, B22=""), "", E36 + B22)</f>
        <v>13.541969999999992</v>
      </c>
    </row>
    <row r="38" spans="1:5" x14ac:dyDescent="0.2">
      <c r="A38" s="126" t="str">
        <f>IF(E38="","",IF(E38=0,"Auflager 6, auf der Strecke",IF(E38&gt;0,"Auflager 6, unterhalb der Strecke","Auflager 6, oberhalb der Strecke")))</f>
        <v>Auflager 6, oberhalb der Strecke</v>
      </c>
      <c r="B38" s="110" cm="1">
        <f t="array" ref="B38">IFERROR(IF(E38="", "", IF(B37=0, "", IF(ROW()-26 &lt; $E$27, E38, IF(ROW()-26 = $E$27, E38, -INDEX($E$28:$E$43, 2 * $E$27 - (ROW()-26)))))), "")</f>
        <v>-13.168029999999995</v>
      </c>
      <c r="C38" s="58" t="s">
        <v>24</v>
      </c>
      <c r="D38" s="51" t="str">
        <f>IF(OR(B37=0, B37=""), "", ROUND(E37, B10) &amp; " kN - " &amp; ROUND($B$14, B10) &amp; " kN * " &amp; ROUND($B$5, B10) &amp; " = " &amp; B38 &amp; " kN")</f>
        <v>13.542 kN - 5.342 kN * 5 = -13.16803 kN</v>
      </c>
      <c r="E38" s="132">
        <f>IF(OR(E37=0, E37=""), "", E37 - B14 * B5)</f>
        <v>-13.168030000000005</v>
      </c>
    </row>
    <row r="39" spans="1:5" x14ac:dyDescent="0.2">
      <c r="A39" s="127" t="str">
        <f>IF(E39="","",IF(E39=0,"Auflager 6, auf der Strecke",IF(E39&gt;0,"Auflager 6, unterhalb der Strecke","Auflager 6, oberhalb der Strecke")))</f>
        <v>Auflager 6, unterhalb der Strecke</v>
      </c>
      <c r="B39" s="107" cm="1">
        <f t="array" ref="B39">IFERROR(IF(E39="", "", IF(B38=0, "", IF(ROW()-26 &lt; $E$27, E39, IF(ROW()-26 = $E$27, E39, -INDEX($E$28:$E$43, 2 * $E$27 - (ROW()-26)))))), "")</f>
        <v>12.607120000000002</v>
      </c>
      <c r="C39" s="58" t="s">
        <v>24</v>
      </c>
      <c r="D39" s="51" t="str">
        <f>IF(OR(B38=0, B38=""), "", ROUND(E38, B10) &amp; " kN + " &amp; ROUND(B23, B10) &amp; " kN = " &amp; B39 &amp; " kN")</f>
        <v>-13.168 kN + 25.775 kN = 12.60712 kN</v>
      </c>
      <c r="E39" s="132">
        <f>IF(OR(B23=0, B23=""), "", E38 + B23)</f>
        <v>12.607119999999991</v>
      </c>
    </row>
    <row r="40" spans="1:5" x14ac:dyDescent="0.2">
      <c r="A40" s="128" t="str">
        <f>IF(E40="","",IF(E40=0,"Auflager 7, auf der Strecke",IF(E40&gt;0,"Auflager 7, unterhalb der Strecke","Auflager 7, oberhalb der Strecke")))</f>
        <v>Auflager 7, oberhalb der Strecke</v>
      </c>
      <c r="B40" s="108" cm="1">
        <f t="array" ref="B40">IFERROR(IF(E40="", "", IF(B39=0, "", IF(ROW()-26 &lt; $E$27, E40, IF(ROW()-26 = $E$27, E40, -INDEX($E$28:$E$43, 2 * $E$27 - (ROW()-26)))))), "")</f>
        <v>-14.102879999999995</v>
      </c>
      <c r="C40" s="58" t="s">
        <v>24</v>
      </c>
      <c r="D40" s="51" t="str">
        <f>IF(OR(B39=0, B39=""), "", ROUND(E39, B10) &amp; " kN - " &amp; ROUND($B$14, B10) &amp; " kN * " &amp; ROUND($B$5, B10) &amp; " = " &amp; B40 &amp; " kN")</f>
        <v>12.607 kN - 5.342 kN * 5 = -14.10288 kN</v>
      </c>
      <c r="E40" s="132">
        <f>IF(OR(E39=0, E39=""), "", E39 - B14 * B5)</f>
        <v>-14.102880000000006</v>
      </c>
    </row>
    <row r="41" spans="1:5" x14ac:dyDescent="0.2">
      <c r="A41" s="129" t="str">
        <f>IF(E41="","",IF(E41=0,"Auflager 7, auf der Strecke",IF(E41&gt;0,"Auflager 7, unterhalb der Strecke","Auflager 7, oberhalb der Strecke")))</f>
        <v>Auflager 7, unterhalb der Strecke</v>
      </c>
      <c r="B41" s="105" cm="1">
        <f t="array" ref="B41">IFERROR(IF(E41="", "", IF(B40=0, "", IF(ROW()-26 &lt; $E$27, E41, IF(ROW()-26 = $E$27, E41, -INDEX($E$28:$E$43, 2 * $E$27 - (ROW()-26)))))), "")</f>
        <v>16.186259999999997</v>
      </c>
      <c r="C41" s="58" t="s">
        <v>24</v>
      </c>
      <c r="D41" s="51" t="str">
        <f>IF(OR(B40=0, B40=""), "", ROUND(E40, B10) &amp; " kN + " &amp; ROUND(B24, B10) &amp; " kN = " &amp; B41 &amp; " kN")</f>
        <v>-14.103 kN + 30.289 kN = 16.18626 kN</v>
      </c>
      <c r="E41" s="132">
        <f>IF(OR(B24=0, B24=""), "", E40 + B24)</f>
        <v>16.186259999999987</v>
      </c>
    </row>
    <row r="42" spans="1:5" x14ac:dyDescent="0.2">
      <c r="A42" s="59" t="str">
        <f>IF(E42="","",IF(E42=0,"Auflager 8, auf der Strecke",IF(E42&gt;0,"Auflager 8, unterhalb der Strecke","Auflager 8, oberhalb der Strecke")))</f>
        <v>Auflager 8, oberhalb der Strecke</v>
      </c>
      <c r="B42" s="93" cm="1">
        <f t="array" ref="B42">IFERROR(IF(E42="", "", IF(B41=0, "", IF(ROW()-26 &lt; $E$27, E42, IF(ROW()-26 = $E$27, E42, -INDEX($E$28:$E$43, 2 * $E$27 - (ROW()-26)))))), "")</f>
        <v>-10.52374</v>
      </c>
      <c r="C42" s="58" t="s">
        <v>24</v>
      </c>
      <c r="D42" s="51" t="str">
        <f>IF(OR(B41=0, B41=""), "", ROUND(E41, B10) &amp; " kN - " &amp; ROUND($B$14, B10) &amp; " kN * " &amp; ROUND($B$5, B10) &amp; " = " &amp; B42 &amp; " kN")</f>
        <v>16.186 kN - 5.342 kN * 5 = -10.52374 kN</v>
      </c>
      <c r="E42" s="132">
        <f>IF(OR(E41=0, E41=""), "", E41 - B14 * B5)</f>
        <v>-10.523740000000011</v>
      </c>
    </row>
    <row r="43" spans="1:5" ht="16" thickBot="1" x14ac:dyDescent="0.25">
      <c r="A43" s="59" t="str">
        <f>IF(E43="","",IF(E43=0,"Auflager 8, auf der Strecke",IF(E43&gt;0,"Auflager 8, unterhalb der Strecke","Auflager 8, oberhalb der Strecke")))</f>
        <v>Auflager 8, oberhalb der Strecke</v>
      </c>
      <c r="B43" s="116" cm="1">
        <f t="array" ref="B43">IFERROR(IF(E43="", "", IF(B42=0, "", IF(ROW()-26 &lt; $E$27, E43, IF(ROW()-26 = $E$27, E43, -INDEX($E$28:$E$43, 2 * $E$27 - (ROW()-26)))))), "")</f>
        <v>0</v>
      </c>
      <c r="C43" s="60" t="s">
        <v>24</v>
      </c>
      <c r="D43" s="51" t="str">
        <f>IF(OR(B25=0, B25=""), "", ROUND(E42, B10) &amp; " kN + " &amp; ROUND(B25, B10) &amp; " kN = " &amp; B43 &amp; " kN")</f>
        <v>-10.524 kN + 10.524 kN = 0 kN</v>
      </c>
      <c r="E43" s="132">
        <f>IF(OR(B25=0, B25=""), "", E42 + B25)</f>
        <v>-1.0658141036401503E-14</v>
      </c>
    </row>
    <row r="44" spans="1:5" ht="16" thickBot="1" x14ac:dyDescent="0.25">
      <c r="A44" s="61" t="s">
        <v>27</v>
      </c>
      <c r="B44" s="62" cm="1">
        <f t="array" ref="B44">_xlfn.AGGREGATE(14, 6, ABS(ROUND(E28:E43, B10)), 1)</f>
        <v>16.186</v>
      </c>
      <c r="C44" s="63" t="s">
        <v>24</v>
      </c>
      <c r="D44" s="64"/>
      <c r="E44" s="132"/>
    </row>
    <row r="45" spans="1:5" x14ac:dyDescent="0.2">
      <c r="A45" s="65"/>
      <c r="B45" s="66"/>
      <c r="C45" s="67"/>
      <c r="D45" s="68"/>
      <c r="E45" s="75"/>
    </row>
    <row r="46" spans="1:5" x14ac:dyDescent="0.2">
      <c r="A46" s="69"/>
      <c r="B46" s="70"/>
      <c r="D46" s="44"/>
    </row>
    <row r="47" spans="1:5" x14ac:dyDescent="0.2">
      <c r="A47" s="69"/>
      <c r="B47" s="70"/>
      <c r="D47" s="44"/>
    </row>
    <row r="48" spans="1:5" x14ac:dyDescent="0.2">
      <c r="A48" s="69"/>
      <c r="B48" s="70"/>
      <c r="D48" s="44"/>
    </row>
    <row r="49" spans="1:12" x14ac:dyDescent="0.2">
      <c r="A49" s="69"/>
      <c r="B49" s="71"/>
      <c r="D49" s="44"/>
    </row>
    <row r="50" spans="1:12" x14ac:dyDescent="0.2">
      <c r="A50" s="69"/>
      <c r="B50" s="71"/>
      <c r="D50" s="44"/>
    </row>
    <row r="51" spans="1:12" x14ac:dyDescent="0.2">
      <c r="A51" s="69"/>
      <c r="B51" s="71"/>
      <c r="D51" s="44"/>
    </row>
    <row r="52" spans="1:12" x14ac:dyDescent="0.2">
      <c r="A52" s="69"/>
      <c r="B52" s="71"/>
      <c r="D52" s="44"/>
    </row>
    <row r="53" spans="1:12" x14ac:dyDescent="0.2">
      <c r="A53" s="69"/>
      <c r="B53" s="71"/>
      <c r="D53" s="44"/>
    </row>
    <row r="54" spans="1:12" x14ac:dyDescent="0.2">
      <c r="A54" s="69"/>
      <c r="B54" s="71"/>
      <c r="D54" s="44"/>
    </row>
    <row r="55" spans="1:12" x14ac:dyDescent="0.2">
      <c r="A55" s="69"/>
      <c r="B55" s="71"/>
      <c r="D55" s="44"/>
    </row>
    <row r="56" spans="1:12" x14ac:dyDescent="0.2">
      <c r="A56" s="69"/>
      <c r="B56" s="71"/>
      <c r="D56" s="44"/>
    </row>
    <row r="57" spans="1:12" x14ac:dyDescent="0.2">
      <c r="A57" s="69"/>
      <c r="B57" s="71"/>
      <c r="D57" s="44"/>
    </row>
    <row r="58" spans="1:12" x14ac:dyDescent="0.2">
      <c r="A58" s="69"/>
      <c r="B58" s="71"/>
      <c r="D58" s="44"/>
    </row>
    <row r="59" spans="1:12" x14ac:dyDescent="0.2">
      <c r="A59" s="69"/>
      <c r="B59" s="71"/>
      <c r="D59" s="44"/>
    </row>
    <row r="60" spans="1:12" x14ac:dyDescent="0.2">
      <c r="A60" s="69"/>
      <c r="B60" s="71"/>
      <c r="D60" s="44"/>
    </row>
    <row r="61" spans="1:12" x14ac:dyDescent="0.2">
      <c r="A61" s="69"/>
      <c r="B61" s="71"/>
      <c r="D61" s="44"/>
    </row>
    <row r="62" spans="1:12" ht="16" thickBot="1" x14ac:dyDescent="0.25">
      <c r="A62" s="72"/>
      <c r="B62" s="73"/>
      <c r="C62" s="34"/>
      <c r="D62" s="74"/>
    </row>
    <row r="63" spans="1:12" ht="16" thickBot="1" x14ac:dyDescent="0.25"/>
    <row r="64" spans="1:12" ht="16" thickBot="1" x14ac:dyDescent="0.25">
      <c r="A64" s="36" t="s">
        <v>82</v>
      </c>
      <c r="B64" s="37" t="s">
        <v>20</v>
      </c>
      <c r="C64" s="37" t="s">
        <v>4</v>
      </c>
      <c r="D64" s="38" t="s">
        <v>21</v>
      </c>
      <c r="E64" s="75"/>
      <c r="F64" s="75"/>
      <c r="G64" s="75"/>
      <c r="H64" s="75"/>
      <c r="I64" s="75"/>
      <c r="J64" s="75"/>
      <c r="K64" s="75"/>
      <c r="L64" s="75"/>
    </row>
    <row r="65" spans="1:12" x14ac:dyDescent="0.2">
      <c r="A65" s="28" t="s">
        <v>74</v>
      </c>
      <c r="B65" s="113" cm="1">
        <f t="array" ref="B65:B71">_xlfn._xlws.FILTER(E65:E71, E65:E71&lt;&gt;0)</f>
        <v>10.390189999999999</v>
      </c>
      <c r="C65" s="40" t="s">
        <v>29</v>
      </c>
      <c r="D65" s="51" t="str" cm="1">
        <f t="array" ref="D65:D71">_xlfn._xlws.FILTER(F65:F71, F65:F71&lt;&gt;"")</f>
        <v>0.0778 * 5.342 kN * 5² = 10.39 kN</v>
      </c>
      <c r="E65" s="75">
        <f>VLOOKUP(B4, 'Durchlaufende Träger'!$A$2:$AA$7, 10, FALSE) * B14 * B5^2</f>
        <v>10.390189999999999</v>
      </c>
      <c r="F65" s="75" t="str">
        <f>IF(E65=0, "", VLOOKUP(B4, 'Durchlaufende Träger'!$A$2:$AA$7, 10, FALSE) &amp; " * " &amp; ROUND(B14, B10) &amp; " kN * " &amp; ROUND(B5, B10) &amp; "² = " &amp; ROUND(VLOOKUP(B4, 'Durchlaufende Träger'!$A$2:$AA$7, 10, FALSE) * ROUND(B14, B10) * ROUND(B5^2, B10), B10) &amp; " kN")</f>
        <v>0.0778 * 5.342 kN * 5² = 10.39 kN</v>
      </c>
      <c r="G65" s="75"/>
      <c r="H65" s="75"/>
      <c r="I65" s="75"/>
      <c r="J65" s="75"/>
      <c r="K65" s="75"/>
      <c r="L65" s="75"/>
    </row>
    <row r="66" spans="1:12" x14ac:dyDescent="0.2">
      <c r="A66" s="76" t="s">
        <v>75</v>
      </c>
      <c r="B66" s="91">
        <v>4.5139899999999988</v>
      </c>
      <c r="C66" s="43" t="s">
        <v>29</v>
      </c>
      <c r="D66" s="51" t="str">
        <v>0.0338 * 5.342 kN * 5² = 4.514 kN</v>
      </c>
      <c r="E66" s="75">
        <f>VLOOKUP(B4, 'Durchlaufende Träger'!$A$2:$AA$7, 11, FALSE) * B14 * B5^2</f>
        <v>4.5139899999999988</v>
      </c>
      <c r="F66" s="75" t="str">
        <f>IF(E66=0, "", VLOOKUP(B4, 'Durchlaufende Träger'!$A$2:$AA$7, 11, FALSE) &amp; " * " &amp; ROUND(B14, B10) &amp; " kN * " &amp; ROUND(B5, B10) &amp; "² = " &amp; ROUND(VLOOKUP(B4, 'Durchlaufende Träger'!$A$2:$AA$7, 11, FALSE) * ROUND(B14, B10) * ROUND(B5^2, B10), B10) &amp; " kN")</f>
        <v>0.0338 * 5.342 kN * 5² = 4.514 kN</v>
      </c>
      <c r="G66" s="75"/>
      <c r="H66" s="75"/>
      <c r="I66" s="75"/>
      <c r="J66" s="75"/>
      <c r="K66" s="75"/>
      <c r="L66" s="75"/>
    </row>
    <row r="67" spans="1:12" x14ac:dyDescent="0.2">
      <c r="A67" s="76" t="s">
        <v>76</v>
      </c>
      <c r="B67" s="92">
        <v>5.8761999999999999</v>
      </c>
      <c r="C67" s="43" t="s">
        <v>29</v>
      </c>
      <c r="D67" s="51" t="str">
        <v>0.044 * 5.342 kN * 5² = 5.876 kN</v>
      </c>
      <c r="E67" s="75">
        <f>VLOOKUP(B4, 'Durchlaufende Träger'!$A$2:$AA$7, 12, FALSE) * B14 * B5^2</f>
        <v>5.8761999999999999</v>
      </c>
      <c r="F67" s="75" t="str">
        <f>IF(E67=0, "", VLOOKUP(B4, 'Durchlaufende Träger'!$A$2:$AA$7, 12, FALSE) &amp; " * " &amp; ROUND(B14, B10) &amp; " kN * " &amp; ROUND(B5, B10) &amp; "² = " &amp; ROUND(VLOOKUP(B4, 'Durchlaufende Träger'!$A$2:$AA$7, 12, FALSE) * ROUND(B14, B10) * ROUND(B5^2, B10), B10) &amp; " kN")</f>
        <v>0.044 * 5.342 kN * 5² = 5.876 kN</v>
      </c>
      <c r="G67" s="75"/>
      <c r="H67" s="75"/>
      <c r="I67" s="75"/>
      <c r="J67" s="75"/>
      <c r="K67" s="75"/>
      <c r="L67" s="75"/>
    </row>
    <row r="68" spans="1:12" x14ac:dyDescent="0.2">
      <c r="A68" s="76" t="s">
        <v>77</v>
      </c>
      <c r="B68" s="116">
        <v>6.0097499999999995</v>
      </c>
      <c r="C68" s="43" t="s">
        <v>29</v>
      </c>
      <c r="D68" s="51" t="str">
        <v>0.045 * 5.342 kN * 5² = 6.01 kN</v>
      </c>
      <c r="E68" s="75">
        <f>VLOOKUP(B4, 'Durchlaufende Träger'!$A$2:$AA$7, 13, FALSE) * B14 * B5^2</f>
        <v>6.0097499999999995</v>
      </c>
      <c r="F68" s="75" t="str">
        <f>IF(E68=0, "", VLOOKUP(B4, 'Durchlaufende Träger'!$A$2:$AA$7, 13, FALSE) &amp; " * " &amp; ROUND(B14, B10) &amp; " kN * " &amp; ROUND(B5, B10) &amp; "² = " &amp; ROUND(VLOOKUP(B4, 'Durchlaufende Träger'!$A$2:$AA$7, 13, FALSE) * ROUND(B14, B10) * ROUND(B5^2, B10), B10) &amp; " kN")</f>
        <v>0.045 * 5.342 kN * 5² = 6.01 kN</v>
      </c>
      <c r="G68" s="75"/>
      <c r="H68" s="75"/>
      <c r="I68" s="75"/>
      <c r="J68" s="75"/>
      <c r="K68" s="75"/>
      <c r="L68" s="75"/>
    </row>
    <row r="69" spans="1:12" x14ac:dyDescent="0.2">
      <c r="A69" s="76" t="s">
        <v>78</v>
      </c>
      <c r="B69" s="92">
        <v>5.8761999999999999</v>
      </c>
      <c r="C69" s="43" t="s">
        <v>29</v>
      </c>
      <c r="D69" s="51" t="str">
        <v>0.044 * 5.342 kN * 5² = 5.876 kN</v>
      </c>
      <c r="E69" s="75">
        <f>VLOOKUP(B4, 'Durchlaufende Träger'!$A$2:$AA$7, 14, FALSE) * B14 * B5^2</f>
        <v>5.8761999999999999</v>
      </c>
      <c r="F69" s="75" t="str">
        <f>IF(E69=0, "", VLOOKUP(B4, 'Durchlaufende Träger'!$A$2:$AA$7, 14, FALSE) &amp; " * " &amp; ROUND(B14, B10) &amp; " kN * " &amp; ROUND(B5, B10) &amp; "² = " &amp; ROUND(VLOOKUP(B4, 'Durchlaufende Träger'!$A$2:$AA$7, 14, FALSE) * ROUND(B14, B10) * ROUND(B5^2, B10), B10) &amp; " kN")</f>
        <v>0.044 * 5.342 kN * 5² = 5.876 kN</v>
      </c>
      <c r="G69" s="75"/>
      <c r="H69" s="75"/>
      <c r="I69" s="75"/>
      <c r="J69" s="75"/>
      <c r="K69" s="75"/>
      <c r="L69" s="75"/>
    </row>
    <row r="70" spans="1:12" x14ac:dyDescent="0.2">
      <c r="A70" s="76" t="s">
        <v>79</v>
      </c>
      <c r="B70" s="91">
        <v>4.5139899999999988</v>
      </c>
      <c r="C70" s="43" t="s">
        <v>29</v>
      </c>
      <c r="D70" s="51" t="str">
        <v>0.0338 * 5.342 kN * 5² = 4.514 kN</v>
      </c>
      <c r="E70" s="75">
        <f>VLOOKUP(B4, 'Durchlaufende Träger'!$A$2:$AA$7, 15, FALSE) * B14 * B5^2</f>
        <v>4.5139899999999988</v>
      </c>
      <c r="F70" s="75" t="str">
        <f>IF(E70=0, "", VLOOKUP(B4, 'Durchlaufende Träger'!$A$2:$AA$7, 15, FALSE) &amp; " * " &amp; ROUND(B14, B10) &amp; " kN * " &amp; ROUND(B5, B10) &amp; "² = " &amp; ROUND(VLOOKUP(B4, 'Durchlaufende Träger'!$A$2:$AA$7, 15, FALSE) * ROUND(B14, B10) * ROUND(B5^2, B10), B10) &amp; " kN")</f>
        <v>0.0338 * 5.342 kN * 5² = 4.514 kN</v>
      </c>
      <c r="G70" s="75"/>
      <c r="H70" s="75"/>
      <c r="I70" s="75"/>
      <c r="J70" s="75"/>
      <c r="K70" s="75"/>
      <c r="L70" s="75"/>
    </row>
    <row r="71" spans="1:12" x14ac:dyDescent="0.2">
      <c r="A71" s="76" t="s">
        <v>80</v>
      </c>
      <c r="B71" s="98">
        <v>10.390189999999999</v>
      </c>
      <c r="C71" s="43" t="s">
        <v>29</v>
      </c>
      <c r="D71" s="77" t="str">
        <v>0.0778 * 5.342 kN * 5² = 10.39 kN</v>
      </c>
      <c r="E71" s="75">
        <f>VLOOKUP(B4, 'Durchlaufende Träger'!$A$2:$AA$7, 16, FALSE) * B14 * B5^2</f>
        <v>10.390189999999999</v>
      </c>
      <c r="F71" s="75" t="str">
        <f>IF(E71=0, "", VLOOKUP(B4, 'Durchlaufende Träger'!$A$2:$AA$7, 16, FALSE) &amp; " * " &amp; ROUND(B14, B10) &amp; " kN * " &amp; ROUND(B5, B10) &amp; "² = " &amp; ROUND(VLOOKUP(B4, 'Durchlaufende Träger'!$A$2:$AA$7, 16, FALSE) * ROUND(B14, B10) * ROUND(B5^2, B10), B10) &amp; " kN")</f>
        <v>0.0778 * 5.342 kN * 5² = 10.39 kN</v>
      </c>
      <c r="G71" s="75"/>
      <c r="H71" s="75"/>
      <c r="I71" s="75"/>
      <c r="J71" s="75"/>
      <c r="K71" s="75"/>
      <c r="L71" s="75"/>
    </row>
    <row r="72" spans="1:12" x14ac:dyDescent="0.2">
      <c r="A72" s="99" t="s">
        <v>98</v>
      </c>
      <c r="B72" s="115" cm="1">
        <f t="array" ref="B72:B77">_xlfn._xlws.FILTER(E72:E77, E72:E77&lt;&gt;0)</f>
        <v>-14.102879999999999</v>
      </c>
      <c r="C72" s="78" t="s">
        <v>29</v>
      </c>
      <c r="D72" s="79" t="str" cm="1">
        <f t="array" ref="D72:D77">_xlfn._xlws.FILTER(F72:F77, F72:F77&lt;&gt;"")</f>
        <v>-0.1056 * 5.342 kN * 5² = -14.103 kN</v>
      </c>
      <c r="E72" s="75">
        <f>VLOOKUP($B$4, 'Durchlaufende Träger'!$A$2:$AA$7, 17, FALSE) * $B$14 * $B$5^2</f>
        <v>-14.102879999999999</v>
      </c>
      <c r="F72" s="75" t="str">
        <f>IF(E72=B155, "", VLOOKUP($B$4, 'Durchlaufende Träger'!$A$2:$AA$7, 17, FALSE) &amp; " * " &amp; ROUND($B$14, B10) &amp; " kN * " &amp; ROUND($B$5, B10) &amp; "² = " &amp; ROUND(VLOOKUP($B$4, 'Durchlaufende Träger'!$A$2:$AA$7, 17, FALSE) * ROUND($B$14, B10) * ROUND($B$5^2, B10), B10) &amp; " kN")</f>
        <v>-0.1056 * 5.342 kN * 5² = -14.103 kN</v>
      </c>
      <c r="G72" s="75"/>
      <c r="H72" s="75"/>
      <c r="I72" s="75"/>
      <c r="J72" s="75"/>
      <c r="K72" s="75"/>
      <c r="L72" s="75"/>
    </row>
    <row r="73" spans="1:12" x14ac:dyDescent="0.2">
      <c r="A73" s="52" t="s">
        <v>99</v>
      </c>
      <c r="B73" s="108">
        <v>-10.350124999999998</v>
      </c>
      <c r="C73" s="43" t="s">
        <v>29</v>
      </c>
      <c r="D73" s="51" t="str">
        <v>-0.0775 * 5.342 kN * 5² = -10.35 kN</v>
      </c>
      <c r="E73" s="75">
        <f>VLOOKUP($B$4, 'Durchlaufende Träger'!$A$2:$AA$7, 18, FALSE) * $B$14 * $B$5^2</f>
        <v>-10.350124999999998</v>
      </c>
      <c r="F73" s="75" t="str">
        <f>IF(E73=0, "", VLOOKUP($B$4, 'Durchlaufende Träger'!$A$2:$AA$7, 18, FALSE) &amp; " * " &amp; ROUND($B$14, B10) &amp; " kN * " &amp; ROUND($B$5, B10) &amp; "² = " &amp; ROUND(VLOOKUP($B$4, 'Durchlaufende Träger'!$A$2:$AA$7, 18, FALSE) * ROUND($B$14, B10) * ROUND($B$5^2, B10), B10) &amp; " kN")</f>
        <v>-0.0775 * 5.342 kN * 5² = -10.35 kN</v>
      </c>
      <c r="G73" s="75"/>
      <c r="H73" s="75"/>
      <c r="I73" s="75"/>
      <c r="J73" s="75"/>
      <c r="K73" s="75"/>
      <c r="L73" s="75"/>
    </row>
    <row r="74" spans="1:12" x14ac:dyDescent="0.2">
      <c r="A74" s="53" t="s">
        <v>100</v>
      </c>
      <c r="B74" s="107">
        <v>-11.284974999999999</v>
      </c>
      <c r="C74" s="43" t="s">
        <v>29</v>
      </c>
      <c r="D74" s="51" t="str">
        <v>-0.0845 * 5.342 kN * 5² = -11.285 kN</v>
      </c>
      <c r="E74" s="75">
        <f>VLOOKUP($B$4, 'Durchlaufende Träger'!$A$2:$AA$7, 19, FALSE) * $B$14 * $B$5^2</f>
        <v>-11.284974999999999</v>
      </c>
      <c r="F74" s="75" t="str">
        <f>IF(E74=0, "", VLOOKUP($B$4, 'Durchlaufende Träger'!$A$2:$AA$7, 19, FALSE) &amp; " * " &amp; ROUND($B$14, B10) &amp; " kN * " &amp; ROUND($B$5, B10) &amp; "² = " &amp; ROUND(VLOOKUP($B$4, 'Durchlaufende Träger'!$A$2:$AA$7, 19, FALSE) * ROUND($B$14, B10) * ROUND($B$5^2, B10), B10) &amp; " kN")</f>
        <v>-0.0845 * 5.342 kN * 5² = -11.285 kN</v>
      </c>
      <c r="G74" s="75"/>
      <c r="H74" s="75"/>
      <c r="I74" s="75"/>
      <c r="J74" s="75"/>
      <c r="K74" s="75"/>
      <c r="L74" s="75"/>
    </row>
    <row r="75" spans="1:12" x14ac:dyDescent="0.2">
      <c r="A75" s="54" t="s">
        <v>101</v>
      </c>
      <c r="B75" s="107">
        <v>-11.284974999999999</v>
      </c>
      <c r="C75" s="43" t="s">
        <v>29</v>
      </c>
      <c r="D75" s="51" t="str">
        <v>-0.0845 * 5.342 kN * 5² = -11.285 kN</v>
      </c>
      <c r="E75" s="75">
        <f>VLOOKUP($B$4, 'Durchlaufende Träger'!$A$2:$AA$7, 20, FALSE) * $B$14 * $B$5^2</f>
        <v>-11.284974999999999</v>
      </c>
      <c r="F75" s="75" t="str">
        <f>IF(E75=0, "", VLOOKUP($B$4, 'Durchlaufende Träger'!$A$2:$AA$7, 20, FALSE) &amp; " * " &amp; ROUND($B$14, B10) &amp; " kN * " &amp; ROUND($B$5, B10) &amp; "² = " &amp; ROUND(VLOOKUP($B$4, 'Durchlaufende Träger'!$A$2:$AA$7, 20, FALSE) * ROUND($B$14, B10) * ROUND($B$5^2, B10), B10) &amp; " kN")</f>
        <v>-0.0845 * 5.342 kN * 5² = -11.285 kN</v>
      </c>
      <c r="G75" s="75"/>
      <c r="H75" s="75"/>
      <c r="I75" s="75"/>
      <c r="J75" s="75"/>
      <c r="K75" s="75"/>
      <c r="L75" s="75"/>
    </row>
    <row r="76" spans="1:12" x14ac:dyDescent="0.2">
      <c r="A76" s="55" t="s">
        <v>102</v>
      </c>
      <c r="B76" s="108">
        <v>-10.350124999999998</v>
      </c>
      <c r="C76" s="43" t="s">
        <v>29</v>
      </c>
      <c r="D76" s="51" t="str">
        <v>-0.0775 * 5.342 kN * 5² = -10.35 kN</v>
      </c>
      <c r="E76" s="75">
        <f>VLOOKUP($B$4, 'Durchlaufende Träger'!$A$2:$AA$7, 21, FALSE) * $B$14 * $B$5^2</f>
        <v>-10.350124999999998</v>
      </c>
      <c r="F76" s="75" t="str">
        <f>IF(E76=0, "", VLOOKUP($B$4, 'Durchlaufende Träger'!$A$2:$AA$7, 21, FALSE) &amp; " * " &amp; ROUND($B$14, B10) &amp; " kN * " &amp; ROUND($B$5, B10) &amp; "² = " &amp; ROUND(VLOOKUP($B$4, 'Durchlaufende Träger'!$A$2:$AA$7, 21, FALSE) * ROUND($B$14, B10) * ROUND($B$5^2, B10), B10) &amp; " kN")</f>
        <v>-0.0775 * 5.342 kN * 5² = -10.35 kN</v>
      </c>
      <c r="G76" s="75"/>
      <c r="H76" s="75"/>
      <c r="I76" s="75"/>
      <c r="J76" s="75"/>
      <c r="K76" s="75"/>
      <c r="L76" s="75"/>
    </row>
    <row r="77" spans="1:12" ht="16" thickBot="1" x14ac:dyDescent="0.25">
      <c r="A77" s="56" t="s">
        <v>103</v>
      </c>
      <c r="B77" s="114">
        <v>-14.102879999999999</v>
      </c>
      <c r="C77" s="46" t="s">
        <v>29</v>
      </c>
      <c r="D77" s="47" t="str">
        <v>-0.1056 * 5.342 kN * 5² = -14.103 kN</v>
      </c>
      <c r="E77" s="75">
        <f>VLOOKUP($B$4, 'Durchlaufende Träger'!$A$2:$AA$7, 22, FALSE) * $B$14 * $B$5^2</f>
        <v>-14.102879999999999</v>
      </c>
      <c r="F77" s="75" t="str">
        <f>IF(E77=0, "", VLOOKUP($B$4, 'Durchlaufende Träger'!$A$2:$AA$7, 22, FALSE) &amp; " * " &amp; ROUND($B$14, B10) &amp; " kN * " &amp; ROUND($B$5, B10) &amp; "² = " &amp; ROUND(VLOOKUP($B$4, 'Durchlaufende Träger'!$A$2:$AA$7, 22, FALSE) * ROUND($B$14, B10) * ROUND($B$5^2, B10), B10) &amp; " kN")</f>
        <v>-0.1056 * 5.342 kN * 5² = -14.103 kN</v>
      </c>
      <c r="G77" s="75"/>
      <c r="H77" s="75"/>
      <c r="I77" s="75"/>
      <c r="J77" s="75"/>
      <c r="K77" s="75"/>
      <c r="L77" s="75"/>
    </row>
    <row r="78" spans="1:12" ht="16" thickBot="1" x14ac:dyDescent="0.25">
      <c r="A78" s="61" t="s">
        <v>32</v>
      </c>
      <c r="B78" s="62" cm="1">
        <f t="array" ref="B78">_xlfn.AGGREGATE(14, 6, ABS(ROUND(B65:B77, B10)), 1)</f>
        <v>14.103</v>
      </c>
      <c r="C78" s="34" t="s">
        <v>29</v>
      </c>
      <c r="D78" s="64"/>
      <c r="E78" s="75"/>
      <c r="F78" s="75"/>
      <c r="G78" s="75"/>
      <c r="H78" s="75"/>
      <c r="I78" s="75"/>
      <c r="J78" s="75"/>
      <c r="K78" s="75"/>
      <c r="L78" s="75"/>
    </row>
    <row r="79" spans="1:12" x14ac:dyDescent="0.2">
      <c r="A79" s="65"/>
      <c r="B79" s="80"/>
      <c r="C79" s="67"/>
      <c r="D79" s="68"/>
      <c r="E79" s="75"/>
      <c r="F79" s="75"/>
      <c r="G79" s="75"/>
      <c r="H79" s="75"/>
      <c r="I79" s="75"/>
      <c r="J79" s="75"/>
      <c r="K79" s="75"/>
    </row>
    <row r="80" spans="1:12" x14ac:dyDescent="0.2">
      <c r="A80" s="69"/>
      <c r="B80" s="81"/>
      <c r="D80" s="44"/>
      <c r="E80" s="75"/>
      <c r="F80" s="75"/>
      <c r="G80" s="75"/>
      <c r="H80" s="75"/>
      <c r="I80" s="75"/>
      <c r="J80" s="75"/>
      <c r="K80" s="75"/>
    </row>
    <row r="81" spans="1:11" x14ac:dyDescent="0.2">
      <c r="A81" s="69"/>
      <c r="B81" s="81"/>
      <c r="D81" s="44"/>
      <c r="E81" s="75"/>
      <c r="F81" s="75"/>
      <c r="G81" s="75"/>
      <c r="H81" s="75"/>
      <c r="I81" s="75"/>
      <c r="J81" s="75"/>
      <c r="K81" s="75"/>
    </row>
    <row r="82" spans="1:11" x14ac:dyDescent="0.2">
      <c r="A82" s="69"/>
      <c r="B82" s="81"/>
      <c r="D82" s="44"/>
      <c r="E82" s="75"/>
      <c r="F82" s="75"/>
      <c r="G82" s="75"/>
      <c r="H82" s="75"/>
      <c r="I82" s="75"/>
      <c r="J82" s="75"/>
      <c r="K82" s="75"/>
    </row>
    <row r="83" spans="1:11" x14ac:dyDescent="0.2">
      <c r="A83" s="69"/>
      <c r="B83" s="81"/>
      <c r="D83" s="44"/>
      <c r="E83" s="75"/>
      <c r="F83" s="75"/>
      <c r="G83" s="75"/>
      <c r="H83" s="75"/>
      <c r="I83" s="75"/>
      <c r="J83" s="75"/>
      <c r="K83" s="75"/>
    </row>
    <row r="84" spans="1:11" x14ac:dyDescent="0.2">
      <c r="A84" s="69"/>
      <c r="B84" s="81"/>
      <c r="D84" s="44"/>
      <c r="E84" s="75"/>
      <c r="F84" s="75"/>
      <c r="G84" s="75"/>
      <c r="H84" s="75"/>
      <c r="I84" s="75"/>
      <c r="J84" s="75"/>
      <c r="K84" s="75"/>
    </row>
    <row r="85" spans="1:11" x14ac:dyDescent="0.2">
      <c r="A85" s="69"/>
      <c r="B85" s="81"/>
      <c r="D85" s="44"/>
      <c r="E85" s="75"/>
      <c r="F85" s="75"/>
      <c r="G85" s="75"/>
      <c r="H85" s="75"/>
      <c r="I85" s="75"/>
      <c r="J85" s="75"/>
      <c r="K85" s="75"/>
    </row>
    <row r="86" spans="1:11" x14ac:dyDescent="0.2">
      <c r="A86" s="69"/>
      <c r="B86" s="81"/>
      <c r="D86" s="44"/>
      <c r="E86" s="75"/>
      <c r="F86" s="75"/>
      <c r="G86" s="75"/>
      <c r="H86" s="75"/>
      <c r="I86" s="75"/>
      <c r="J86" s="75"/>
      <c r="K86" s="75"/>
    </row>
    <row r="87" spans="1:11" x14ac:dyDescent="0.2">
      <c r="A87" s="69"/>
      <c r="B87" s="81"/>
      <c r="D87" s="44"/>
      <c r="E87" s="75"/>
      <c r="F87" s="75"/>
      <c r="G87" s="75"/>
      <c r="H87" s="75"/>
      <c r="I87" s="75"/>
      <c r="J87" s="75"/>
      <c r="K87" s="75"/>
    </row>
    <row r="88" spans="1:11" x14ac:dyDescent="0.2">
      <c r="A88" s="69"/>
      <c r="B88" s="81"/>
      <c r="D88" s="44"/>
      <c r="E88" s="75"/>
      <c r="F88" s="75"/>
      <c r="G88" s="75"/>
      <c r="H88" s="75"/>
      <c r="I88" s="75"/>
      <c r="J88" s="75"/>
      <c r="K88" s="75"/>
    </row>
    <row r="89" spans="1:11" x14ac:dyDescent="0.2">
      <c r="A89" s="69"/>
      <c r="B89" s="81"/>
      <c r="D89" s="44"/>
      <c r="E89" s="75"/>
      <c r="F89" s="75"/>
      <c r="G89" s="75"/>
      <c r="H89" s="75"/>
      <c r="I89" s="75"/>
      <c r="J89" s="75"/>
      <c r="K89" s="75"/>
    </row>
    <row r="90" spans="1:11" x14ac:dyDescent="0.2">
      <c r="A90" s="69"/>
      <c r="B90" s="81"/>
      <c r="D90" s="44"/>
      <c r="E90" s="75"/>
      <c r="F90" s="75"/>
      <c r="G90" s="75"/>
      <c r="H90" s="75"/>
      <c r="I90" s="75"/>
      <c r="J90" s="75"/>
      <c r="K90" s="75"/>
    </row>
    <row r="91" spans="1:11" x14ac:dyDescent="0.2">
      <c r="A91" s="69"/>
      <c r="B91" s="81"/>
      <c r="D91" s="44"/>
      <c r="E91" s="75"/>
      <c r="F91" s="75"/>
      <c r="G91" s="75"/>
      <c r="H91" s="75"/>
      <c r="I91" s="75"/>
      <c r="J91" s="75"/>
      <c r="K91" s="75"/>
    </row>
    <row r="92" spans="1:11" x14ac:dyDescent="0.2">
      <c r="A92" s="69"/>
      <c r="B92" s="81"/>
      <c r="D92" s="44"/>
      <c r="E92" s="75"/>
      <c r="F92" s="75"/>
      <c r="G92" s="75"/>
      <c r="H92" s="75"/>
      <c r="I92" s="75"/>
      <c r="J92" s="75"/>
      <c r="K92" s="75"/>
    </row>
    <row r="93" spans="1:11" x14ac:dyDescent="0.2">
      <c r="A93" s="69"/>
      <c r="B93" s="81"/>
      <c r="D93" s="44"/>
      <c r="E93" s="75"/>
      <c r="F93" s="75"/>
      <c r="G93" s="75"/>
      <c r="H93" s="75"/>
      <c r="I93" s="75"/>
      <c r="J93" s="75"/>
      <c r="K93" s="75"/>
    </row>
    <row r="94" spans="1:11" x14ac:dyDescent="0.2">
      <c r="A94" s="69"/>
      <c r="B94" s="81"/>
      <c r="D94" s="44"/>
      <c r="E94" s="75"/>
      <c r="F94" s="75"/>
      <c r="G94" s="75"/>
      <c r="H94" s="75"/>
      <c r="I94" s="75"/>
      <c r="J94" s="75"/>
      <c r="K94" s="75"/>
    </row>
    <row r="95" spans="1:11" x14ac:dyDescent="0.2">
      <c r="A95" s="69"/>
      <c r="B95" s="81"/>
      <c r="D95" s="44"/>
      <c r="E95" s="75"/>
      <c r="F95" s="75"/>
      <c r="G95" s="75"/>
      <c r="H95" s="75"/>
      <c r="I95" s="75"/>
      <c r="J95" s="75"/>
      <c r="K95" s="75"/>
    </row>
    <row r="96" spans="1:11" x14ac:dyDescent="0.2">
      <c r="A96" s="69"/>
      <c r="B96" s="81"/>
      <c r="D96" s="44"/>
      <c r="E96" s="75"/>
      <c r="F96" s="75"/>
      <c r="G96" s="75"/>
      <c r="H96" s="75"/>
      <c r="I96" s="75"/>
      <c r="J96" s="75"/>
      <c r="K96" s="75"/>
    </row>
    <row r="97" spans="1:11" ht="16" thickBot="1" x14ac:dyDescent="0.25">
      <c r="A97" s="72"/>
      <c r="B97" s="82"/>
      <c r="C97" s="34"/>
      <c r="D97" s="74"/>
      <c r="E97" s="75"/>
      <c r="F97" s="75"/>
      <c r="G97" s="75"/>
      <c r="H97" s="75"/>
      <c r="I97" s="75"/>
      <c r="J97" s="75"/>
      <c r="K97" s="75"/>
    </row>
    <row r="98" spans="1:11" ht="16" thickBot="1" x14ac:dyDescent="0.25">
      <c r="E98" s="75"/>
      <c r="F98" s="75"/>
      <c r="G98" s="75"/>
      <c r="H98" s="75"/>
      <c r="I98" s="75"/>
      <c r="J98" s="75"/>
      <c r="K98" s="75"/>
    </row>
    <row r="99" spans="1:11" ht="16" thickBot="1" x14ac:dyDescent="0.25">
      <c r="A99" s="36" t="s">
        <v>33</v>
      </c>
      <c r="B99" s="37" t="s">
        <v>20</v>
      </c>
      <c r="C99" s="37" t="s">
        <v>4</v>
      </c>
      <c r="D99" s="38" t="s">
        <v>21</v>
      </c>
      <c r="E99" s="75"/>
      <c r="F99" s="75"/>
      <c r="G99" s="75"/>
      <c r="H99" s="75"/>
      <c r="I99" s="75"/>
      <c r="J99" s="75"/>
      <c r="K99" s="75"/>
    </row>
    <row r="100" spans="1:11" x14ac:dyDescent="0.2">
      <c r="A100" s="28" t="s">
        <v>106</v>
      </c>
      <c r="B100" s="113">
        <f>(VLOOKUP(B4, 'Durchlaufende Träger'!$A$2:$W$8, 23, FALSE) * B14 * B5^4) / (B9) * 1000</f>
        <v>3.6169791666666664</v>
      </c>
      <c r="C100" s="40" t="s">
        <v>34</v>
      </c>
      <c r="D100" s="51" t="str">
        <f>IF(B100=0, "", " (" &amp; VLOOKUP(B4, 'Durchlaufende Träger'!$A$2:$W$8, 23, FALSE) &amp; " * " &amp; ROUND(B14, B10) &amp; " kN * " &amp; ROUND(B5, B10) &amp; "⁴) / " &amp; ROUND(B9, B10) &amp; " * 1000 = " &amp; ROUND((VLOOKUP(B4, 'Durchlaufende Träger'!$A$2:$W$8, 23, FALSE) * B14 * B5^4) / B9 * 1000, B10) &amp; " mm")</f>
        <v xml:space="preserve"> (0.0065 * 5.342 kN * 5⁴) / 6000 * 1000 = 3.617 mm</v>
      </c>
      <c r="E100" s="75"/>
      <c r="F100" s="75"/>
      <c r="G100" s="75"/>
      <c r="H100" s="75"/>
      <c r="I100" s="75"/>
      <c r="J100" s="75"/>
      <c r="K100" s="75"/>
    </row>
    <row r="101" spans="1:11" x14ac:dyDescent="0.2">
      <c r="A101" s="28" t="s">
        <v>107</v>
      </c>
      <c r="B101" s="91">
        <f>(VLOOKUP(B4, 'Durchlaufende Träger'!$A$2:$X$8, 24, FALSE) * B14 * B5^4) / (B9) * 1000</f>
        <v>0.8903333333333332</v>
      </c>
      <c r="C101" s="43" t="s">
        <v>34</v>
      </c>
      <c r="D101" s="51" t="str">
        <f>IF(B101=0, "", " (" &amp; VLOOKUP(B4, 'Durchlaufende Träger'!$A$2:$X$8, 24, FALSE) &amp; " * " &amp; ROUND(B14, B10) &amp; " kN * " &amp; ROUND(B5, B10) &amp; "⁴) / " &amp; ROUND(B9, B10) &amp; " * 1000 = " &amp; ROUND((VLOOKUP(B4, 'Durchlaufende Träger'!$A$2:$X$8, 24, FALSE) * B14 * B5^4) / B9 * 1000, B10) &amp; " mm")</f>
        <v xml:space="preserve"> (0.0016 * 5.342 kN * 5⁴) / 6000 * 1000 = 0.89 mm</v>
      </c>
      <c r="E101" s="75"/>
      <c r="F101" s="75"/>
      <c r="G101" s="75"/>
      <c r="H101" s="75"/>
      <c r="I101" s="75"/>
      <c r="J101" s="75"/>
      <c r="K101" s="75"/>
    </row>
    <row r="102" spans="1:11" x14ac:dyDescent="0.2">
      <c r="A102" s="28" t="s">
        <v>108</v>
      </c>
      <c r="B102" s="92">
        <f>(VLOOKUP(B4, 'Durchlaufende Träger'!$A$2:$Y$8, 25, FALSE) * B14 * B5^4) / (B9) * 1000</f>
        <v>1.6137291666666664</v>
      </c>
      <c r="C102" s="43" t="s">
        <v>34</v>
      </c>
      <c r="D102" s="51" t="str">
        <f>IF(B102=0, "", " (" &amp; VLOOKUP(B4, 'Durchlaufende Träger'!$A$2:$Y$8, 25, FALSE) &amp; " * " &amp; ROUND(B14, B10) &amp; " kN * " &amp; ROUND(B5, B10) &amp; "⁴) / " &amp; ROUND(B9, B10) &amp; " * 1000 = " &amp; ROUND((VLOOKUP(B4, 'Durchlaufende Träger'!$A$2:$Y$8, 25, FALSE) * B14 * B5^4) / B9 * 1000, B10) &amp; " mm")</f>
        <v xml:space="preserve"> (0.0029 * 5.342 kN * 5⁴) / 6000 * 1000 = 1.614 mm</v>
      </c>
      <c r="E102" s="75"/>
      <c r="F102" s="75"/>
      <c r="G102" s="75"/>
      <c r="H102" s="75"/>
      <c r="I102" s="75"/>
      <c r="J102" s="75"/>
      <c r="K102" s="75"/>
    </row>
    <row r="103" spans="1:11" x14ac:dyDescent="0.2">
      <c r="A103" s="28" t="s">
        <v>109</v>
      </c>
      <c r="B103" s="116">
        <f>(VLOOKUP(B4, 'Durchlaufende Träger'!$A$2:$Z$8, 26, FALSE) * B14 * B5^4) / (B9) * 1000</f>
        <v>1.3354999999999999</v>
      </c>
      <c r="C103" s="43" t="s">
        <v>34</v>
      </c>
      <c r="D103" s="51" t="str">
        <f>IF(B103=0, "", " (" &amp; VLOOKUP(B4, 'Durchlaufende Träger'!$A$2:$Z$8, 26, FALSE) &amp; " * " &amp; ROUND(B14, B10) &amp; " kN * " &amp; ROUND(B5, B10) &amp; "⁴) / " &amp; ROUND(B9, B10) &amp; " * 1000 = " &amp; ROUND((VLOOKUP(B4, 'Durchlaufende Träger'!$A$2:$Z$8, 26, FALSE) * B14 * B5^4) / B9 * 1000, B10) &amp; " mm")</f>
        <v xml:space="preserve"> (0.0024 * 5.342 kN * 5⁴) / 6000 * 1000 = 1.336 mm</v>
      </c>
      <c r="E103" s="75"/>
      <c r="F103" s="75"/>
      <c r="G103" s="75"/>
      <c r="H103" s="75"/>
      <c r="I103" s="75"/>
      <c r="J103" s="75"/>
      <c r="K103" s="75"/>
    </row>
    <row r="104" spans="1:11" x14ac:dyDescent="0.2">
      <c r="A104" s="28" t="s">
        <v>110</v>
      </c>
      <c r="B104" s="92">
        <f>(VLOOKUP(B4, 'Durchlaufende Träger'!$A$2:$AA$8, 27, FALSE) * B14 * B5^4) / (B9) * 1000</f>
        <v>1.6137291666666664</v>
      </c>
      <c r="C104" s="43" t="s">
        <v>34</v>
      </c>
      <c r="D104" s="51" t="str">
        <f>IF(B104=0, "", " (" &amp; VLOOKUP(B4, 'Durchlaufende Träger'!$A$2:$AA$8, 27, FALSE) &amp; " * " &amp; ROUND(B14, B10) &amp; " kN * " &amp; ROUND(B5, B10) &amp; "⁴) / " &amp; ROUND(B9, B10) &amp; " * 1000 = " &amp; ROUND((VLOOKUP(B4, 'Durchlaufende Träger'!$A$2:$AA$8, 27, FALSE) * B14 * B5^4) / B9 * 1000, B10) &amp; " mm")</f>
        <v xml:space="preserve"> (0.0029 * 5.342 kN * 5⁴) / 6000 * 1000 = 1.614 mm</v>
      </c>
      <c r="E104" s="75"/>
      <c r="F104" s="75"/>
      <c r="G104" s="75"/>
      <c r="H104" s="75"/>
      <c r="I104" s="75"/>
      <c r="J104" s="75"/>
      <c r="K104" s="75"/>
    </row>
    <row r="105" spans="1:11" x14ac:dyDescent="0.2">
      <c r="A105" s="28" t="s">
        <v>111</v>
      </c>
      <c r="B105" s="91">
        <f>(VLOOKUP(B4, 'Durchlaufende Träger'!$A$2:$AB$8, 28, FALSE) * B14 * B5^4) / (B9) * 1000</f>
        <v>0.8903333333333332</v>
      </c>
      <c r="C105" s="43" t="s">
        <v>34</v>
      </c>
      <c r="D105" s="51" t="str">
        <f>IF(B105=0, "", " (" &amp; VLOOKUP(B4, 'Durchlaufende Träger'!$A$2:$AB$8, 28, FALSE) &amp; " * " &amp; ROUND(B14, B10) &amp; " kN * " &amp; ROUND(B5, B10) &amp; "⁴) / " &amp; ROUND(B9, B10) &amp; " * 1000 = " &amp; ROUND((VLOOKUP(B4, 'Durchlaufende Träger'!$A$2:$AB$8, 28, FALSE) * B14 * B5^4) / B9 * 1000, B10) &amp; " mm")</f>
        <v xml:space="preserve"> (0.0016 * 5.342 kN * 5⁴) / 6000 * 1000 = 0.89 mm</v>
      </c>
      <c r="E105" s="75"/>
      <c r="F105" s="75"/>
      <c r="G105" s="75"/>
      <c r="H105" s="75"/>
      <c r="I105" s="75"/>
      <c r="J105" s="75"/>
      <c r="K105" s="75"/>
    </row>
    <row r="106" spans="1:11" ht="16" thickBot="1" x14ac:dyDescent="0.25">
      <c r="A106" s="28" t="s">
        <v>112</v>
      </c>
      <c r="B106" s="98">
        <f>(VLOOKUP(B4, 'Durchlaufende Träger'!$A$2:$AC$8, 29, FALSE) * B14 * B5^4) / (B9) * 1000</f>
        <v>3.6169791666666664</v>
      </c>
      <c r="C106" s="43" t="s">
        <v>34</v>
      </c>
      <c r="D106" s="77" t="str">
        <f>IF(B106=0, "", " (" &amp; VLOOKUP(B4, 'Durchlaufende Träger'!$A$2:$AC$8, 29, FALSE) &amp; " * " &amp; ROUND(B14, B10) &amp; " kN * " &amp; ROUND(B5, B10) &amp; "⁴) / " &amp; ROUND(B9, B10) &amp; " * 1000 = " &amp; ROUND((VLOOKUP(B4, 'Durchlaufende Träger'!$A$2:$AC$8, 29, FALSE) * B14 * B5^4) / B9 * 1000, B10) &amp; " mm")</f>
        <v xml:space="preserve"> (0.0065 * 5.342 kN * 5⁴) / 6000 * 1000 = 3.617 mm</v>
      </c>
      <c r="E106" s="75"/>
      <c r="F106" s="75"/>
      <c r="G106" s="75"/>
      <c r="H106" s="75"/>
      <c r="I106" s="75"/>
      <c r="J106" s="75"/>
      <c r="K106" s="75"/>
    </row>
    <row r="107" spans="1:11" ht="16" thickBot="1" x14ac:dyDescent="0.25">
      <c r="A107" s="61" t="s">
        <v>86</v>
      </c>
      <c r="B107" s="62" cm="1">
        <f t="array" ref="B107">_xlfn.AGGREGATE(14,6,ABS(B100:B103),1)</f>
        <v>3.6169791666666664</v>
      </c>
      <c r="C107" s="83" t="s">
        <v>34</v>
      </c>
      <c r="D107" s="64"/>
    </row>
    <row r="108" spans="1:11" x14ac:dyDescent="0.2">
      <c r="A108" s="25"/>
      <c r="B108" s="67"/>
      <c r="C108" s="67"/>
      <c r="D108" s="68"/>
    </row>
    <row r="109" spans="1:11" x14ac:dyDescent="0.2">
      <c r="A109" s="28"/>
      <c r="D109" s="44"/>
    </row>
    <row r="110" spans="1:11" x14ac:dyDescent="0.2">
      <c r="A110" s="28"/>
      <c r="D110" s="44"/>
    </row>
    <row r="111" spans="1:11" x14ac:dyDescent="0.2">
      <c r="A111" s="28"/>
      <c r="D111" s="44"/>
    </row>
    <row r="112" spans="1:11" x14ac:dyDescent="0.2">
      <c r="A112" s="28"/>
      <c r="D112" s="44"/>
    </row>
    <row r="113" spans="1:4" x14ac:dyDescent="0.2">
      <c r="A113" s="28"/>
      <c r="D113" s="44"/>
    </row>
    <row r="114" spans="1:4" x14ac:dyDescent="0.2">
      <c r="A114" s="28"/>
      <c r="D114" s="44"/>
    </row>
    <row r="115" spans="1:4" x14ac:dyDescent="0.2">
      <c r="A115" s="28"/>
      <c r="D115" s="44"/>
    </row>
    <row r="116" spans="1:4" x14ac:dyDescent="0.2">
      <c r="A116" s="28"/>
      <c r="D116" s="44"/>
    </row>
    <row r="117" spans="1:4" x14ac:dyDescent="0.2">
      <c r="A117" s="28"/>
      <c r="D117" s="44"/>
    </row>
    <row r="118" spans="1:4" x14ac:dyDescent="0.2">
      <c r="A118" s="28"/>
      <c r="D118" s="44"/>
    </row>
    <row r="119" spans="1:4" x14ac:dyDescent="0.2">
      <c r="A119" s="28"/>
      <c r="D119" s="44"/>
    </row>
    <row r="120" spans="1:4" x14ac:dyDescent="0.2">
      <c r="A120" s="28"/>
      <c r="D120" s="44"/>
    </row>
    <row r="121" spans="1:4" x14ac:dyDescent="0.2">
      <c r="A121" s="28"/>
      <c r="D121" s="44"/>
    </row>
    <row r="122" spans="1:4" x14ac:dyDescent="0.2">
      <c r="A122" s="28"/>
      <c r="D122" s="44"/>
    </row>
    <row r="123" spans="1:4" x14ac:dyDescent="0.2">
      <c r="A123" s="28"/>
      <c r="D123" s="44"/>
    </row>
    <row r="124" spans="1:4" x14ac:dyDescent="0.2">
      <c r="A124" s="28"/>
      <c r="D124" s="44"/>
    </row>
    <row r="125" spans="1:4" x14ac:dyDescent="0.2">
      <c r="A125" s="28"/>
      <c r="D125" s="44"/>
    </row>
    <row r="126" spans="1:4" ht="16" thickBot="1" x14ac:dyDescent="0.25">
      <c r="A126" s="32"/>
      <c r="B126" s="34"/>
      <c r="C126" s="34"/>
      <c r="D126" s="74"/>
    </row>
  </sheetData>
  <sheetProtection algorithmName="SHA-512" hashValue="3FWsvouzrXQN9abE3FHTE17K1ItHEsAw4XIguezV0FYAh9RA+H1OCm9Y4pl76hwQk9DrXzmn4wxvDwyWXfLFCw==" saltValue="oeitYG0TbkcW3nPzu97xXA==" spinCount="100000" sheet="1" objects="1" scenarios="1" selectLockedCells="1"/>
  <phoneticPr fontId="7" type="noConversion"/>
  <hyperlinks>
    <hyperlink ref="D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B4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zoomScale="150" workbookViewId="0">
      <selection activeCell="E16" sqref="E16"/>
    </sheetView>
  </sheetViews>
  <sheetFormatPr baseColWidth="10" defaultColWidth="11.5" defaultRowHeight="15" x14ac:dyDescent="0.2"/>
  <sheetData>
    <row r="1" spans="1:4" ht="16" thickBot="1" x14ac:dyDescent="0.25">
      <c r="A1" s="100" t="s">
        <v>61</v>
      </c>
      <c r="B1" s="101"/>
      <c r="C1" s="102"/>
    </row>
    <row r="2" spans="1:4" x14ac:dyDescent="0.2">
      <c r="A2" s="7"/>
      <c r="B2" s="94">
        <v>0</v>
      </c>
      <c r="C2" s="4">
        <v>1</v>
      </c>
      <c r="D2" cm="1">
        <f t="array" ref="D2:D17">_xlfn._xlws.FILTER(C2:C17, B2:B17&lt;&gt;"")</f>
        <v>1</v>
      </c>
    </row>
    <row r="3" spans="1:4" x14ac:dyDescent="0.2">
      <c r="A3" s="8"/>
      <c r="B3" s="95">
        <f>IF(ISNUMBER(Berechnungen!B29), Berechnungen!B29, "")</f>
        <v>10.52374</v>
      </c>
      <c r="C3" s="5">
        <v>1</v>
      </c>
      <c r="D3">
        <v>1</v>
      </c>
    </row>
    <row r="4" spans="1:4" x14ac:dyDescent="0.2">
      <c r="A4" s="8"/>
      <c r="B4" s="95">
        <f>IF(ISNUMBER(Berechnungen!B30), Berechnungen!B30, "")</f>
        <v>-16.186259999999997</v>
      </c>
      <c r="C4" s="5">
        <v>2</v>
      </c>
      <c r="D4">
        <v>2</v>
      </c>
    </row>
    <row r="5" spans="1:4" x14ac:dyDescent="0.2">
      <c r="A5" s="8"/>
      <c r="B5" s="95">
        <f>IF(ISNUMBER(Berechnungen!B31), Berechnungen!B31, "")</f>
        <v>14.102879999999995</v>
      </c>
      <c r="C5" s="5">
        <v>2</v>
      </c>
      <c r="D5">
        <v>2</v>
      </c>
    </row>
    <row r="6" spans="1:4" x14ac:dyDescent="0.2">
      <c r="A6" s="8"/>
      <c r="B6" s="95">
        <f>IF(ISNUMBER(Berechnungen!B32), Berechnungen!B32, "")</f>
        <v>-12.607120000000002</v>
      </c>
      <c r="C6" s="5">
        <v>3</v>
      </c>
      <c r="D6">
        <v>3</v>
      </c>
    </row>
    <row r="7" spans="1:4" x14ac:dyDescent="0.2">
      <c r="A7" s="8"/>
      <c r="B7" s="95">
        <f>IF(ISNUMBER(Berechnungen!B33), Berechnungen!B33, "")</f>
        <v>13.168029999999995</v>
      </c>
      <c r="C7" s="5">
        <v>3</v>
      </c>
      <c r="D7">
        <v>3</v>
      </c>
    </row>
    <row r="8" spans="1:4" x14ac:dyDescent="0.2">
      <c r="A8" s="8"/>
      <c r="B8" s="95">
        <f>IF(ISNUMBER(Berechnungen!B34), Berechnungen!B34, "")</f>
        <v>-13.541970000000003</v>
      </c>
      <c r="C8" s="5">
        <v>4</v>
      </c>
      <c r="D8">
        <v>4</v>
      </c>
    </row>
    <row r="9" spans="1:4" x14ac:dyDescent="0.2">
      <c r="A9" s="8"/>
      <c r="B9" s="95">
        <f>IF(ISNUMBER(Berechnungen!B35), Berechnungen!B35, "")</f>
        <v>13.354999999999993</v>
      </c>
      <c r="C9" s="5">
        <v>4</v>
      </c>
      <c r="D9">
        <v>4</v>
      </c>
    </row>
    <row r="10" spans="1:4" x14ac:dyDescent="0.2">
      <c r="A10" s="8"/>
      <c r="B10" s="95">
        <f>IF(ISNUMBER(Berechnungen!B36), Berechnungen!B36, "")</f>
        <v>-13.354999999999993</v>
      </c>
      <c r="C10" s="5">
        <v>5</v>
      </c>
      <c r="D10">
        <v>5</v>
      </c>
    </row>
    <row r="11" spans="1:4" x14ac:dyDescent="0.2">
      <c r="A11" s="8"/>
      <c r="B11" s="95">
        <f>IF(ISNUMBER(Berechnungen!B37), Berechnungen!B37, "")</f>
        <v>13.541970000000003</v>
      </c>
      <c r="C11" s="5">
        <v>5</v>
      </c>
      <c r="D11">
        <v>5</v>
      </c>
    </row>
    <row r="12" spans="1:4" x14ac:dyDescent="0.2">
      <c r="A12" s="8"/>
      <c r="B12" s="95">
        <f>IF(ISNUMBER(Berechnungen!B38), Berechnungen!B38, "")</f>
        <v>-13.168029999999995</v>
      </c>
      <c r="C12" s="5">
        <v>6</v>
      </c>
      <c r="D12">
        <v>6</v>
      </c>
    </row>
    <row r="13" spans="1:4" x14ac:dyDescent="0.2">
      <c r="A13" s="8"/>
      <c r="B13" s="95">
        <f>IF(ISNUMBER(Berechnungen!B39), Berechnungen!B39, "")</f>
        <v>12.607120000000002</v>
      </c>
      <c r="C13" s="5">
        <v>6</v>
      </c>
      <c r="D13">
        <v>6</v>
      </c>
    </row>
    <row r="14" spans="1:4" x14ac:dyDescent="0.2">
      <c r="A14" s="8"/>
      <c r="B14" s="95">
        <f>IF(ISNUMBER(Berechnungen!B40), Berechnungen!B40, "")</f>
        <v>-14.102879999999995</v>
      </c>
      <c r="C14" s="5">
        <v>7</v>
      </c>
      <c r="D14">
        <v>7</v>
      </c>
    </row>
    <row r="15" spans="1:4" x14ac:dyDescent="0.2">
      <c r="A15" s="8"/>
      <c r="B15" s="95">
        <f>IF(ISNUMBER(Berechnungen!B41), Berechnungen!B41, "")</f>
        <v>16.186259999999997</v>
      </c>
      <c r="C15" s="5">
        <v>7</v>
      </c>
      <c r="D15">
        <v>7</v>
      </c>
    </row>
    <row r="16" spans="1:4" x14ac:dyDescent="0.2">
      <c r="A16" s="8"/>
      <c r="B16" s="95">
        <f>IF(ISNUMBER(Berechnungen!B42), Berechnungen!B42, "")</f>
        <v>-10.52374</v>
      </c>
      <c r="C16" s="5">
        <v>8</v>
      </c>
      <c r="D16">
        <v>8</v>
      </c>
    </row>
    <row r="17" spans="1:10" ht="16" thickBot="1" x14ac:dyDescent="0.25">
      <c r="A17" s="9"/>
      <c r="B17" s="95">
        <f>IF(ISNUMBER(Berechnungen!B43), Berechnungen!B43, "")</f>
        <v>0</v>
      </c>
      <c r="C17" s="6">
        <v>8</v>
      </c>
      <c r="D17">
        <v>8</v>
      </c>
    </row>
    <row r="18" spans="1:10" x14ac:dyDescent="0.2">
      <c r="A18" s="19"/>
      <c r="B18" s="10"/>
      <c r="C18" s="18"/>
      <c r="D18">
        <f>MAX(D2:D17)</f>
        <v>8</v>
      </c>
    </row>
    <row r="19" spans="1:10" x14ac:dyDescent="0.2">
      <c r="A19" s="19"/>
      <c r="B19" s="10"/>
      <c r="C19" s="18"/>
      <c r="D19">
        <v>1</v>
      </c>
    </row>
    <row r="20" spans="1:10" ht="16" thickBot="1" x14ac:dyDescent="0.25">
      <c r="A20" s="19"/>
      <c r="B20" s="10"/>
      <c r="C20" s="18"/>
      <c r="D20">
        <f>SUM(D18:D19)</f>
        <v>9</v>
      </c>
    </row>
    <row r="21" spans="1:10" ht="16" thickBot="1" x14ac:dyDescent="0.25">
      <c r="B21" s="100" t="s">
        <v>62</v>
      </c>
      <c r="C21" s="101"/>
      <c r="D21" s="101"/>
      <c r="E21" s="101"/>
      <c r="F21" s="102"/>
    </row>
    <row r="22" spans="1:10" ht="16" thickBot="1" x14ac:dyDescent="0.25">
      <c r="B22" s="88">
        <v>0</v>
      </c>
      <c r="C22" s="18">
        <v>1</v>
      </c>
      <c r="D22" s="11" t="s">
        <v>37</v>
      </c>
      <c r="G22" s="100" t="s">
        <v>113</v>
      </c>
      <c r="H22" s="101"/>
      <c r="I22" s="101"/>
      <c r="J22" s="102"/>
    </row>
    <row r="23" spans="1:10" x14ac:dyDescent="0.2">
      <c r="B23" s="88">
        <f>IFERROR(IF(ISNUMBER(Berechnungen!B65), Berechnungen!B65, IF(AND(ISNUMBER(B22), ABS(B22)&gt;0), 0, "")), "")</f>
        <v>10.390189999999999</v>
      </c>
      <c r="C23" s="18">
        <v>1.5</v>
      </c>
      <c r="D23" s="11" t="s">
        <v>66</v>
      </c>
      <c r="E23" s="94" cm="1">
        <f t="array" ref="E23:E37">_xlfn._xlws.FILTER(B22:B37, B22:B37&lt;&gt;"")</f>
        <v>0</v>
      </c>
      <c r="F23" s="4">
        <v>1</v>
      </c>
      <c r="G23" s="84" cm="1">
        <f t="array" aca="1" ref="G23" ca="1">IF(ISNUMBER(INDIRECT(ADDRESS(ROW(), COLUMN()-1))), INDIRECT(ADDRESS(ROW(), COLUMN()-1)), "")</f>
        <v>1</v>
      </c>
      <c r="H23" s="84">
        <f ca="1">G23</f>
        <v>1</v>
      </c>
      <c r="I23" s="87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Berechnungen!B78, "")</f>
        <v>14.103</v>
      </c>
    </row>
    <row r="24" spans="1:10" x14ac:dyDescent="0.2">
      <c r="B24" s="88">
        <f>IFERROR(IF(ISNUMBER(Berechnungen!B72), Berechnungen!B72, IF(AND(ISNUMBER(B23), ABS(B23)&gt;0), 0, "")), "")</f>
        <v>-14.102879999999999</v>
      </c>
      <c r="C24" s="18">
        <v>2</v>
      </c>
      <c r="D24" s="11" t="s">
        <v>38</v>
      </c>
      <c r="E24" s="95">
        <v>10.390189999999999</v>
      </c>
      <c r="F24" s="5" cm="1">
        <f t="array" ref="F24:F37">_xlfn._xlws.FILTER(C23:C37, B23:B37&lt;&gt;"")</f>
        <v>1.5</v>
      </c>
      <c r="G24" s="85"/>
      <c r="H24" s="85"/>
      <c r="I24" s="18"/>
      <c r="J24" s="11"/>
    </row>
    <row r="25" spans="1:10" x14ac:dyDescent="0.2">
      <c r="B25" s="88">
        <f>IFERROR(IF(ISNUMBER(Berechnungen!B66), Berechnungen!B66, IF(AND(ISNUMBER(B24), ABS(B24)&gt;0), 0, "")), "")</f>
        <v>4.5139899999999988</v>
      </c>
      <c r="C25" s="18">
        <v>2.5</v>
      </c>
      <c r="D25" s="11" t="s">
        <v>67</v>
      </c>
      <c r="E25" s="95">
        <v>-14.102879999999999</v>
      </c>
      <c r="F25" s="5">
        <v>2</v>
      </c>
      <c r="G25" s="85" cm="1">
        <f t="array" aca="1" ref="G25" ca="1">IF(ISNUMBER(INDIRECT(ADDRESS(ROW(), COLUMN()-1))), INDIRECT(ADDRESS(ROW(), COLUMN()-1)), "")</f>
        <v>2</v>
      </c>
      <c r="H25" s="85">
        <f ca="1">G25</f>
        <v>2</v>
      </c>
      <c r="I25" s="18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Berechnungen!B78, "")</f>
        <v>14.103</v>
      </c>
    </row>
    <row r="26" spans="1:10" x14ac:dyDescent="0.2">
      <c r="B26" s="88">
        <f>IFERROR(IF(ISNUMBER(Berechnungen!B73), Berechnungen!B73, IF(AND(ISNUMBER(B25), ABS(B25)&gt;0), 0, "")), "")</f>
        <v>-10.350124999999998</v>
      </c>
      <c r="C26" s="18">
        <v>3</v>
      </c>
      <c r="D26" s="11" t="s">
        <v>39</v>
      </c>
      <c r="E26" s="95">
        <v>4.5139899999999988</v>
      </c>
      <c r="F26" s="5">
        <v>2.5</v>
      </c>
      <c r="G26" s="85"/>
      <c r="H26" s="85"/>
      <c r="I26" s="18"/>
      <c r="J26" s="11"/>
    </row>
    <row r="27" spans="1:10" x14ac:dyDescent="0.2">
      <c r="B27" s="88">
        <f>IFERROR(IF(ISNUMBER(Berechnungen!B67), Berechnungen!B67, IF(AND(ISNUMBER(B26), ABS(B26)&gt;0), 0, "")), "")</f>
        <v>5.8761999999999999</v>
      </c>
      <c r="C27" s="18">
        <v>3.5</v>
      </c>
      <c r="D27" s="11" t="s">
        <v>68</v>
      </c>
      <c r="E27" s="95">
        <v>-10.350124999999998</v>
      </c>
      <c r="F27" s="5">
        <v>3</v>
      </c>
      <c r="G27" s="85" cm="1">
        <f t="array" aca="1" ref="G27" ca="1">IF(ISNUMBER(INDIRECT(ADDRESS(ROW(), COLUMN()-1))), INDIRECT(ADDRESS(ROW(), COLUMN()-1)), "")</f>
        <v>3</v>
      </c>
      <c r="H27" s="85">
        <f ca="1">G27</f>
        <v>3</v>
      </c>
      <c r="I27" s="18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Berechnungen!B78, "")</f>
        <v>14.103</v>
      </c>
    </row>
    <row r="28" spans="1:10" x14ac:dyDescent="0.2">
      <c r="B28" s="88">
        <f>IFERROR(IF(ISNUMBER(Berechnungen!B74), Berechnungen!B74, IF(AND(ISNUMBER(B27), ABS(B27)&gt;0), 0, "")), "")</f>
        <v>-11.284974999999999</v>
      </c>
      <c r="C28" s="18">
        <v>4</v>
      </c>
      <c r="D28" s="11" t="s">
        <v>40</v>
      </c>
      <c r="E28" s="95">
        <v>5.8761999999999999</v>
      </c>
      <c r="F28" s="5">
        <v>3.5</v>
      </c>
      <c r="G28" s="85"/>
      <c r="H28" s="85"/>
      <c r="I28" s="18"/>
      <c r="J28" s="11"/>
    </row>
    <row r="29" spans="1:10" x14ac:dyDescent="0.2">
      <c r="B29" s="88">
        <f>IFERROR(IF(ISNUMBER(Berechnungen!B68), Berechnungen!B68, IF(AND(ISNUMBER(B28), ABS(B28)&gt;0), 0, "")), "")</f>
        <v>6.0097499999999995</v>
      </c>
      <c r="C29" s="18">
        <v>4.5</v>
      </c>
      <c r="D29" s="11" t="s">
        <v>69</v>
      </c>
      <c r="E29" s="95">
        <v>-11.284974999999999</v>
      </c>
      <c r="F29" s="5">
        <v>4</v>
      </c>
      <c r="G29" s="85" cm="1">
        <f t="array" aca="1" ref="G29" ca="1">IF(ISNUMBER(INDIRECT(ADDRESS(ROW(), COLUMN()-1))), INDIRECT(ADDRESS(ROW(), COLUMN()-1)), "")</f>
        <v>4</v>
      </c>
      <c r="H29" s="85">
        <f ca="1">G29</f>
        <v>4</v>
      </c>
      <c r="I29" s="18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Berechnungen!B78, "")</f>
        <v>14.103</v>
      </c>
    </row>
    <row r="30" spans="1:10" x14ac:dyDescent="0.2">
      <c r="B30" s="14">
        <f>IFERROR(IF(ISNUMBER(Berechnungen!B75), Berechnungen!B75, IF(AND(ISNUMBER(B29), ABS(B29)&gt;0), 0, "")), "")</f>
        <v>-11.284974999999999</v>
      </c>
      <c r="C30" s="18">
        <v>5</v>
      </c>
      <c r="D30" s="11" t="s">
        <v>41</v>
      </c>
      <c r="E30" s="95">
        <v>6.0097499999999995</v>
      </c>
      <c r="F30" s="5">
        <v>4.5</v>
      </c>
      <c r="G30" s="85"/>
      <c r="H30" s="85"/>
      <c r="I30" s="18"/>
      <c r="J30" s="11"/>
    </row>
    <row r="31" spans="1:10" x14ac:dyDescent="0.2">
      <c r="B31" s="88">
        <f>IFERROR(IF(ISNUMBER(Berechnungen!B69), Berechnungen!B69, IF(AND(ISNUMBER(B30), ABS(B30)&gt;0), 0, "")), "")</f>
        <v>5.8761999999999999</v>
      </c>
      <c r="C31" s="18">
        <v>5.5</v>
      </c>
      <c r="D31" s="11" t="s">
        <v>70</v>
      </c>
      <c r="E31" s="95">
        <v>-11.284974999999999</v>
      </c>
      <c r="F31" s="5">
        <v>5</v>
      </c>
      <c r="G31" s="85" cm="1">
        <f t="array" aca="1" ref="G31" ca="1">IF(ISNUMBER(INDIRECT(ADDRESS(ROW(), COLUMN()-1))), INDIRECT(ADDRESS(ROW(), COLUMN()-1)), "")</f>
        <v>5</v>
      </c>
      <c r="H31" s="85">
        <f ca="1">G31</f>
        <v>5</v>
      </c>
      <c r="I31" s="18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Berechnungen!B78, "")</f>
        <v>14.103</v>
      </c>
    </row>
    <row r="32" spans="1:10" x14ac:dyDescent="0.2">
      <c r="B32" s="88">
        <f>IFERROR(IF(ISNUMBER(Berechnungen!B76), Berechnungen!B76, IF(AND(ISNUMBER(B31), B31&gt;0), 0, "")), "")</f>
        <v>-10.350124999999998</v>
      </c>
      <c r="C32" s="18">
        <v>6</v>
      </c>
      <c r="D32" s="11" t="s">
        <v>42</v>
      </c>
      <c r="E32" s="95">
        <v>5.8761999999999999</v>
      </c>
      <c r="F32" s="5">
        <v>5.5</v>
      </c>
      <c r="G32" s="85"/>
      <c r="H32" s="85"/>
      <c r="I32" s="18"/>
      <c r="J32" s="11"/>
    </row>
    <row r="33" spans="1:10" x14ac:dyDescent="0.2">
      <c r="B33" s="88">
        <f>IFERROR(IF(ISNUMBER(Berechnungen!B70), Berechnungen!B70, IF(AND(ISNUMBER(B32), ABS(B32)&gt;0), 0, "")), "")</f>
        <v>4.5139899999999988</v>
      </c>
      <c r="C33" s="18">
        <v>6.5</v>
      </c>
      <c r="D33" s="11" t="s">
        <v>71</v>
      </c>
      <c r="E33" s="95">
        <v>-10.350124999999998</v>
      </c>
      <c r="F33" s="5">
        <v>6</v>
      </c>
      <c r="G33" s="85" cm="1">
        <f t="array" aca="1" ref="G33" ca="1">IF(ISNUMBER(INDIRECT(ADDRESS(ROW(), COLUMN()-1))), INDIRECT(ADDRESS(ROW(), COLUMN()-1)), "")</f>
        <v>6</v>
      </c>
      <c r="H33" s="85">
        <f ca="1">G33</f>
        <v>6</v>
      </c>
      <c r="I33" s="18" cm="1">
        <f t="array" aca="1" ref="I33" ca="1">IF(ISNUMBER(INDIRECT(ADDRESS(ROW(), COLUMN()-1))), 0, "")</f>
        <v>0</v>
      </c>
      <c r="J33" s="11" cm="1">
        <f t="array" aca="1" ref="J33" ca="1">IF(ISNUMBER(INDIRECT(ADDRESS(ROW(), COLUMN()-1))), Berechnungen!B78, "")</f>
        <v>14.103</v>
      </c>
    </row>
    <row r="34" spans="1:10" x14ac:dyDescent="0.2">
      <c r="B34" s="88">
        <f>IFERROR(IF(ISNUMBER(Berechnungen!B77), Berechnungen!B77, IF(AND(ISNUMBER(B33), B33&gt;0), 0, "")), "")</f>
        <v>-14.102879999999999</v>
      </c>
      <c r="C34" s="18">
        <v>7</v>
      </c>
      <c r="D34" s="11" t="s">
        <v>43</v>
      </c>
      <c r="E34" s="95">
        <v>4.5139899999999988</v>
      </c>
      <c r="F34" s="5">
        <v>6.5</v>
      </c>
      <c r="G34" s="85"/>
      <c r="H34" s="85"/>
      <c r="I34" s="18"/>
      <c r="J34" s="11"/>
    </row>
    <row r="35" spans="1:10" x14ac:dyDescent="0.2">
      <c r="B35" s="88">
        <f>IFERROR(IF(ISNUMBER(Berechnungen!B71), Berechnungen!B71, IF(AND(ISNUMBER(B34), B34&gt;0), 0, "")), "")</f>
        <v>10.390189999999999</v>
      </c>
      <c r="C35" s="18">
        <v>7.5</v>
      </c>
      <c r="D35" s="11" t="s">
        <v>72</v>
      </c>
      <c r="E35" s="95">
        <v>-14.102879999999999</v>
      </c>
      <c r="F35" s="5">
        <v>7</v>
      </c>
      <c r="G35" s="85" cm="1">
        <f t="array" aca="1" ref="G35" ca="1">IF(ISNUMBER(INDIRECT(ADDRESS(ROW(), COLUMN()-1))), INDIRECT(ADDRESS(ROW(), COLUMN()-1)), "")</f>
        <v>7</v>
      </c>
      <c r="H35" s="85">
        <f ca="1">G35</f>
        <v>7</v>
      </c>
      <c r="I35" s="18" cm="1">
        <f t="array" aca="1" ref="I35" ca="1">IF(ISNUMBER(INDIRECT(ADDRESS(ROW(), COLUMN()-1))), 0, "")</f>
        <v>0</v>
      </c>
      <c r="J35" s="11" cm="1">
        <f t="array" aca="1" ref="J35" ca="1">IF(ISNUMBER(INDIRECT(ADDRESS(ROW(), COLUMN()-1))), Berechnungen!B78, "")</f>
        <v>14.103</v>
      </c>
    </row>
    <row r="36" spans="1:10" ht="16" thickBot="1" x14ac:dyDescent="0.25">
      <c r="B36" s="89">
        <f>IFERROR(IF(AND(ISNUMBER(B35), B35&gt;0), 0, ""), "")</f>
        <v>0</v>
      </c>
      <c r="C36" s="90">
        <v>8</v>
      </c>
      <c r="D36" s="13" t="s">
        <v>44</v>
      </c>
      <c r="E36" s="95">
        <v>10.390189999999999</v>
      </c>
      <c r="F36" s="5">
        <v>7.5</v>
      </c>
      <c r="G36" s="85"/>
      <c r="H36" s="85"/>
      <c r="I36" s="18"/>
      <c r="J36" s="11"/>
    </row>
    <row r="37" spans="1:10" ht="16" thickBot="1" x14ac:dyDescent="0.25">
      <c r="E37" s="96">
        <v>0</v>
      </c>
      <c r="F37" s="6">
        <v>8</v>
      </c>
      <c r="G37" s="86" cm="1">
        <f t="array" aca="1" ref="G37" ca="1">IF(ISNUMBER(INDIRECT(ADDRESS(ROW(), COLUMN()-1))), INDIRECT(ADDRESS(ROW(), COLUMN()-1)), "")</f>
        <v>8</v>
      </c>
      <c r="H37" s="86">
        <f ca="1">G37</f>
        <v>8</v>
      </c>
      <c r="I37" s="90" cm="1">
        <f t="array" aca="1" ref="I37" ca="1">IF(ISNUMBER(INDIRECT(ADDRESS(ROW(), COLUMN()-1))), 0, "")</f>
        <v>0</v>
      </c>
      <c r="J37" s="13" cm="1">
        <f t="array" aca="1" ref="J37" ca="1">IF(ISNUMBER(INDIRECT(ADDRESS(ROW(), COLUMN()-1))), Berechnungen!B78, "")</f>
        <v>14.103</v>
      </c>
    </row>
    <row r="39" spans="1:10" x14ac:dyDescent="0.2">
      <c r="B39" s="18"/>
      <c r="C39" s="18"/>
    </row>
    <row r="45" spans="1:10" x14ac:dyDescent="0.2">
      <c r="A45">
        <v>1</v>
      </c>
      <c r="B45">
        <v>0</v>
      </c>
    </row>
    <row r="46" spans="1:10" x14ac:dyDescent="0.2">
      <c r="A46">
        <f>D18</f>
        <v>8</v>
      </c>
      <c r="B46">
        <v>0</v>
      </c>
    </row>
    <row r="50" spans="1:4" ht="16" thickBot="1" x14ac:dyDescent="0.25"/>
    <row r="51" spans="1:4" ht="16" thickBot="1" x14ac:dyDescent="0.25">
      <c r="A51" s="100" t="s">
        <v>114</v>
      </c>
      <c r="B51" s="101"/>
      <c r="C51" s="101"/>
      <c r="D51" s="102"/>
    </row>
    <row r="52" spans="1:4" x14ac:dyDescent="0.2">
      <c r="A52" s="14">
        <v>0</v>
      </c>
      <c r="B52">
        <v>1</v>
      </c>
      <c r="C52" s="95" cm="1">
        <f t="array" ref="C52:C66">_xlfn._xlws.FILTER(A52:A66, A52:A66&lt;&gt;"")</f>
        <v>0</v>
      </c>
      <c r="D52" s="11" cm="1">
        <f t="array" ref="D52:D66">_xlfn._xlws.FILTER(B52:B66, A52:A66&lt;&gt;"")</f>
        <v>1</v>
      </c>
    </row>
    <row r="53" spans="1:4" x14ac:dyDescent="0.2">
      <c r="A53" s="14">
        <f>IFERROR(IF(AND(ISNUMBER(Berechnungen!B100), Berechnungen!B100&lt;&gt;0), Berechnungen!B100, IF(AND(ISNUMBER(A52), ABS(A52)&lt;&gt;0), 0, "")), "")</f>
        <v>3.6169791666666664</v>
      </c>
      <c r="B53">
        <v>1.5</v>
      </c>
      <c r="C53" s="95">
        <v>3.6169791666666664</v>
      </c>
      <c r="D53" s="11">
        <v>1.5</v>
      </c>
    </row>
    <row r="54" spans="1:4" x14ac:dyDescent="0.2">
      <c r="A54" s="14">
        <f>IF(ISNUMBER(A53), 0, "")</f>
        <v>0</v>
      </c>
      <c r="B54">
        <v>2</v>
      </c>
      <c r="C54" s="95">
        <v>0</v>
      </c>
      <c r="D54" s="11">
        <v>2</v>
      </c>
    </row>
    <row r="55" spans="1:4" x14ac:dyDescent="0.2">
      <c r="A55" s="14">
        <f>IFERROR(IF(AND(ISNUMBER(Berechnungen!B101), Berechnungen!B101&lt;&gt;0), Berechnungen!B101, IF(AND(ISNUMBER(A54), ABS(A54)&lt;&gt;0), 0, "")), "")</f>
        <v>0.8903333333333332</v>
      </c>
      <c r="B55">
        <v>2.5</v>
      </c>
      <c r="C55" s="95">
        <v>0.8903333333333332</v>
      </c>
      <c r="D55" s="11">
        <v>2.5</v>
      </c>
    </row>
    <row r="56" spans="1:4" x14ac:dyDescent="0.2">
      <c r="A56" s="14">
        <f>IF(ISNUMBER(A55), 0, "")</f>
        <v>0</v>
      </c>
      <c r="B56">
        <v>3</v>
      </c>
      <c r="C56" s="95">
        <v>0</v>
      </c>
      <c r="D56" s="11">
        <v>3</v>
      </c>
    </row>
    <row r="57" spans="1:4" x14ac:dyDescent="0.2">
      <c r="A57" s="14">
        <f>IFERROR(IF(AND(ISNUMBER(Berechnungen!B102), Berechnungen!B102&lt;&gt;0), Berechnungen!B102, IF(AND(ISNUMBER(A56), ABS(A56)&lt;&gt;0), 0, "")), "")</f>
        <v>1.6137291666666664</v>
      </c>
      <c r="B57">
        <v>3.5</v>
      </c>
      <c r="C57" s="95">
        <v>1.6137291666666664</v>
      </c>
      <c r="D57" s="11">
        <v>3.5</v>
      </c>
    </row>
    <row r="58" spans="1:4" x14ac:dyDescent="0.2">
      <c r="A58" s="14">
        <f>IF(ISNUMBER(A57), 0, "")</f>
        <v>0</v>
      </c>
      <c r="B58">
        <v>4</v>
      </c>
      <c r="C58" s="95">
        <v>0</v>
      </c>
      <c r="D58" s="11">
        <v>4</v>
      </c>
    </row>
    <row r="59" spans="1:4" x14ac:dyDescent="0.2">
      <c r="A59" s="14">
        <f>IFERROR(IF(AND(ISNUMBER(Berechnungen!B103), Berechnungen!B103&lt;&gt;0), Berechnungen!B103, IF(AND(ISNUMBER(A58), ABS(A58)&lt;&gt;0), 0, "")), "")</f>
        <v>1.3354999999999999</v>
      </c>
      <c r="B59">
        <v>4.5</v>
      </c>
      <c r="C59" s="95">
        <v>1.3354999999999999</v>
      </c>
      <c r="D59" s="11">
        <v>4.5</v>
      </c>
    </row>
    <row r="60" spans="1:4" x14ac:dyDescent="0.2">
      <c r="A60" s="14">
        <f>IF(ISNUMBER(A59), 0, "")</f>
        <v>0</v>
      </c>
      <c r="B60">
        <v>5</v>
      </c>
      <c r="C60" s="95">
        <v>0</v>
      </c>
      <c r="D60" s="11">
        <v>5</v>
      </c>
    </row>
    <row r="61" spans="1:4" x14ac:dyDescent="0.2">
      <c r="A61" s="14">
        <f>IFERROR(IF(AND(ISNUMBER(Berechnungen!B104), Berechnungen!B104&lt;&gt;0), Berechnungen!B104, IF(AND(ISNUMBER(A60), ABS(A60)&lt;&gt;0), 0, "")), "")</f>
        <v>1.6137291666666664</v>
      </c>
      <c r="B61">
        <v>5.5</v>
      </c>
      <c r="C61" s="95">
        <v>1.6137291666666664</v>
      </c>
      <c r="D61" s="11">
        <v>5.5</v>
      </c>
    </row>
    <row r="62" spans="1:4" x14ac:dyDescent="0.2">
      <c r="A62" s="14">
        <f>IF(ISNUMBER(A61), 0, "")</f>
        <v>0</v>
      </c>
      <c r="B62">
        <v>6</v>
      </c>
      <c r="C62" s="95">
        <v>0</v>
      </c>
      <c r="D62" s="11">
        <v>6</v>
      </c>
    </row>
    <row r="63" spans="1:4" x14ac:dyDescent="0.2">
      <c r="A63" s="14">
        <f>IFERROR(IF(AND(ISNUMBER(Berechnungen!B105), Berechnungen!B105&lt;&gt;0), Berechnungen!B105, IF(AND(ISNUMBER(A62), ABS(A62)&lt;&gt;0), 0, "")), "")</f>
        <v>0.8903333333333332</v>
      </c>
      <c r="B63">
        <v>6.5</v>
      </c>
      <c r="C63" s="95">
        <v>0.8903333333333332</v>
      </c>
      <c r="D63" s="11">
        <v>6.5</v>
      </c>
    </row>
    <row r="64" spans="1:4" x14ac:dyDescent="0.2">
      <c r="A64" s="14">
        <f>IF(ISNUMBER(A63), 0, "")</f>
        <v>0</v>
      </c>
      <c r="B64">
        <v>7</v>
      </c>
      <c r="C64" s="95">
        <v>0</v>
      </c>
      <c r="D64" s="11">
        <v>7</v>
      </c>
    </row>
    <row r="65" spans="1:4" x14ac:dyDescent="0.2">
      <c r="A65" s="14">
        <f>IFERROR(IF(AND(ISNUMBER(Berechnungen!B106), Berechnungen!B106&lt;&gt;0), Berechnungen!B106, IF(AND(ISNUMBER(A64), ABS(A64)&lt;&gt;0), 0, "")), "")</f>
        <v>3.6169791666666664</v>
      </c>
      <c r="B65">
        <v>7.5</v>
      </c>
      <c r="C65" s="95">
        <v>3.6169791666666664</v>
      </c>
      <c r="D65" s="11">
        <v>7.5</v>
      </c>
    </row>
    <row r="66" spans="1:4" ht="16" thickBot="1" x14ac:dyDescent="0.25">
      <c r="A66" s="103">
        <f>IF(ISNUMBER(A65), 0, "")</f>
        <v>0</v>
      </c>
      <c r="B66" s="104">
        <v>8</v>
      </c>
      <c r="C66" s="97">
        <v>0</v>
      </c>
      <c r="D66" s="13">
        <v>8</v>
      </c>
    </row>
  </sheetData>
  <sheetProtection algorithmName="SHA-512" hashValue="Cr+bYDrcKZo7kTY4KrICX0L0mYbQns6ZkNf48ZOGGyJd3VX13EHdXRE7u2GwDphGasWTxRPZ9wz64NOZ6wlL0Q==" saltValue="GN5+VFATBJZXKJXcoT1Rq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5" defaultRowHeight="15" x14ac:dyDescent="0.2"/>
  <cols>
    <col min="1" max="1" width="18" customWidth="1"/>
    <col min="2" max="2" width="18.6640625" customWidth="1"/>
  </cols>
  <sheetData>
    <row r="1" spans="1:2" x14ac:dyDescent="0.2">
      <c r="A1" s="2" t="s">
        <v>35</v>
      </c>
      <c r="B1" s="2" t="s">
        <v>36</v>
      </c>
    </row>
    <row r="2" spans="1:2" x14ac:dyDescent="0.2">
      <c r="A2">
        <v>10</v>
      </c>
      <c r="B2">
        <v>4.25</v>
      </c>
    </row>
    <row r="3" spans="1:2" x14ac:dyDescent="0.2">
      <c r="A3">
        <v>12</v>
      </c>
      <c r="B3">
        <v>4.74</v>
      </c>
    </row>
    <row r="4" spans="1:2" x14ac:dyDescent="0.2">
      <c r="A4">
        <v>14</v>
      </c>
      <c r="B4">
        <v>5.23</v>
      </c>
    </row>
    <row r="5" spans="1:2" x14ac:dyDescent="0.2">
      <c r="A5">
        <v>16</v>
      </c>
      <c r="B5">
        <v>5.72</v>
      </c>
    </row>
    <row r="6" spans="1:2" x14ac:dyDescent="0.2">
      <c r="A6">
        <v>18</v>
      </c>
      <c r="B6">
        <v>6.21</v>
      </c>
    </row>
    <row r="7" spans="1:2" x14ac:dyDescent="0.2">
      <c r="A7">
        <v>20</v>
      </c>
      <c r="B7">
        <v>6.71</v>
      </c>
    </row>
    <row r="8" spans="1:2" x14ac:dyDescent="0.2">
      <c r="A8">
        <v>22</v>
      </c>
      <c r="B8">
        <v>7.2</v>
      </c>
    </row>
    <row r="9" spans="1:2" x14ac:dyDescent="0.2">
      <c r="A9">
        <v>24</v>
      </c>
      <c r="B9">
        <v>7.69</v>
      </c>
    </row>
    <row r="10" spans="1:2" x14ac:dyDescent="0.2">
      <c r="A10">
        <v>26</v>
      </c>
      <c r="B10">
        <v>8.18</v>
      </c>
    </row>
    <row r="11" spans="1:2" x14ac:dyDescent="0.2">
      <c r="A11">
        <v>28</v>
      </c>
      <c r="B11">
        <v>8.67</v>
      </c>
    </row>
    <row r="12" spans="1:2" x14ac:dyDescent="0.2">
      <c r="A12">
        <v>30</v>
      </c>
      <c r="B12">
        <v>9.16</v>
      </c>
    </row>
    <row r="13" spans="1:2" x14ac:dyDescent="0.2">
      <c r="A13">
        <v>35</v>
      </c>
      <c r="B13">
        <v>10.49</v>
      </c>
    </row>
    <row r="14" spans="1:2" x14ac:dyDescent="0.2">
      <c r="A14">
        <v>40</v>
      </c>
      <c r="B14">
        <v>11.84</v>
      </c>
    </row>
    <row r="15" spans="1:2" x14ac:dyDescent="0.2">
      <c r="A15">
        <v>45</v>
      </c>
      <c r="B15">
        <v>13.19</v>
      </c>
    </row>
    <row r="16" spans="1:2" x14ac:dyDescent="0.2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topLeftCell="W1" zoomScale="111" workbookViewId="0">
      <selection activeCell="AD15" sqref="AD15"/>
    </sheetView>
  </sheetViews>
  <sheetFormatPr baseColWidth="10" defaultColWidth="11.5" defaultRowHeight="15" x14ac:dyDescent="0.2"/>
  <cols>
    <col min="18" max="22" width="10.83203125" customWidth="1"/>
  </cols>
  <sheetData>
    <row r="1" spans="1:30" x14ac:dyDescent="0.2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2024-09-20T11:48:51Z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