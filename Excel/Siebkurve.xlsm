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\\Mac\Home\Documents\Berechnungshilfen\Excel\"/>
    </mc:Choice>
  </mc:AlternateContent>
  <xr:revisionPtr revIDLastSave="0" documentId="13_ncr:1_{2C077168-C027-4D79-8E3A-9D77A20B9FF1}" xr6:coauthVersionLast="47" xr6:coauthVersionMax="47" xr10:uidLastSave="{00000000-0000-0000-0000-000000000000}"/>
  <bookViews>
    <workbookView xWindow="-98" yWindow="-98" windowWidth="28996" windowHeight="15990" xr2:uid="{00000000-000D-0000-FFFF-FFFF00000000}"/>
  </bookViews>
  <sheets>
    <sheet name="Siebkurve" sheetId="1" r:id="rId1"/>
    <sheet name="Siebgrössen_gefiltert" sheetId="2" state="hidden" r:id="rId2"/>
  </sheets>
  <functionGroups builtInGroupCount="19"/>
  <definedNames>
    <definedName name="_xleta.INDEX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8" i="1" l="1"/>
  <c r="H55" i="1"/>
  <c r="G55" i="1"/>
  <c r="G24" i="1"/>
  <c r="G7" i="1" l="1"/>
  <c r="H7" i="1" s="1"/>
  <c r="G8" i="1"/>
  <c r="G9" i="1"/>
  <c r="G11" i="1"/>
  <c r="G12" i="1"/>
  <c r="G13" i="1"/>
  <c r="G14" i="1"/>
  <c r="G15" i="1"/>
  <c r="G16" i="1"/>
  <c r="G17" i="1"/>
  <c r="G18" i="1"/>
  <c r="G19" i="1"/>
  <c r="G21" i="1"/>
  <c r="G22" i="1"/>
  <c r="G23" i="1"/>
  <c r="G25" i="1"/>
  <c r="G26" i="1"/>
  <c r="G29" i="1"/>
  <c r="H29" i="1" s="1"/>
  <c r="G30" i="1"/>
  <c r="G31" i="1"/>
  <c r="H31" i="1" s="1"/>
  <c r="G32" i="1"/>
  <c r="H32" i="1" s="1"/>
  <c r="G33" i="1"/>
  <c r="G34" i="1"/>
  <c r="H34" i="1" s="1"/>
  <c r="G35" i="1"/>
  <c r="G36" i="1"/>
  <c r="G37" i="1"/>
  <c r="H37" i="1" s="1"/>
  <c r="G38" i="1"/>
  <c r="H38" i="1" s="1"/>
  <c r="G39" i="1"/>
  <c r="H39" i="1" s="1"/>
  <c r="G41" i="1"/>
  <c r="H30" i="1" l="1"/>
  <c r="H8" i="1"/>
  <c r="H9" i="1" s="1"/>
  <c r="H41" i="1"/>
  <c r="D40" i="1" s="1"/>
  <c r="D7" i="1" l="1"/>
  <c r="H11" i="1"/>
  <c r="H53" i="1"/>
  <c r="G53" i="1"/>
  <c r="H54" i="1"/>
  <c r="G54" i="1"/>
  <c r="H12" i="1" l="1"/>
  <c r="F42" i="1"/>
  <c r="H13" i="1" l="1"/>
  <c r="H14" i="1" s="1"/>
  <c r="F43" i="1"/>
  <c r="G56" i="1" a="1"/>
  <c r="G56" i="1" l="1"/>
  <c r="H15" i="1"/>
  <c r="D62" i="1"/>
  <c r="H16" i="1" l="1"/>
  <c r="H17" i="1" l="1"/>
  <c r="H18" i="1" l="1"/>
  <c r="H19" i="1" l="1"/>
  <c r="D10" i="1" s="1"/>
  <c r="H21" i="1" l="1"/>
  <c r="H22" i="1" l="1"/>
  <c r="H23" i="1" l="1"/>
  <c r="H24" i="1" l="1"/>
  <c r="H25" i="1" l="1"/>
  <c r="H26" i="1" l="1"/>
  <c r="D61" i="1" l="1"/>
  <c r="D20" i="1"/>
  <c r="H28" i="1"/>
  <c r="B10" i="1"/>
  <c r="D60" i="1"/>
  <c r="H33" i="1"/>
  <c r="H35" i="1"/>
  <c r="H36" i="1" l="1"/>
  <c r="B27" i="1" s="1"/>
  <c r="D65" i="1" a="1"/>
  <c r="D63" i="1" a="1"/>
  <c r="G42" i="1" l="1"/>
  <c r="G43" i="1" s="1"/>
  <c r="D27" i="1"/>
  <c r="D63" i="1"/>
  <c r="D6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<sst xmlns="http://schemas.openxmlformats.org/spreadsheetml/2006/main" count="43" uniqueCount="42">
  <si>
    <t>D10</t>
  </si>
  <si>
    <t>D30</t>
  </si>
  <si>
    <t>D60</t>
  </si>
  <si>
    <t>Total</t>
  </si>
  <si>
    <t>Verlust</t>
  </si>
  <si>
    <t>meile.jeremy@stud.bauschule.ch</t>
  </si>
  <si>
    <t>Siebgrösse</t>
  </si>
  <si>
    <t>Summe %</t>
  </si>
  <si>
    <t>Klassifikation von Lockergestein (USCS)</t>
  </si>
  <si>
    <t>Lösungsweg</t>
  </si>
  <si>
    <r>
      <t xml:space="preserve">Siebgrösse </t>
    </r>
    <r>
      <rPr>
        <sz val="11"/>
        <rFont val="Calibri"/>
        <family val="2"/>
        <scheme val="minor"/>
      </rPr>
      <t>(mm)</t>
    </r>
  </si>
  <si>
    <r>
      <t xml:space="preserve">Rückstand </t>
    </r>
    <r>
      <rPr>
        <sz val="11"/>
        <rFont val="Calibri"/>
        <family val="2"/>
        <scheme val="minor"/>
      </rPr>
      <t>(g)</t>
    </r>
  </si>
  <si>
    <r>
      <t>Rückstand</t>
    </r>
    <r>
      <rPr>
        <sz val="11"/>
        <rFont val="Calibri"/>
        <family val="2"/>
        <scheme val="minor"/>
      </rPr>
      <t xml:space="preserve"> in %</t>
    </r>
  </si>
  <si>
    <r>
      <t>Summe</t>
    </r>
    <r>
      <rPr>
        <sz val="11"/>
        <rFont val="Calibri"/>
        <family val="2"/>
        <scheme val="minor"/>
      </rPr>
      <t xml:space="preserve"> in %</t>
    </r>
  </si>
  <si>
    <r>
      <t>WP</t>
    </r>
    <r>
      <rPr>
        <sz val="11"/>
        <rFont val="Calibri"/>
        <family val="2"/>
        <scheme val="minor"/>
      </rPr>
      <t xml:space="preserve"> in %</t>
    </r>
  </si>
  <si>
    <r>
      <t>WL</t>
    </r>
    <r>
      <rPr>
        <sz val="11"/>
        <rFont val="Calibri"/>
        <family val="2"/>
        <scheme val="minor"/>
      </rPr>
      <t xml:space="preserve"> in %</t>
    </r>
  </si>
  <si>
    <r>
      <t>IP</t>
    </r>
    <r>
      <rPr>
        <sz val="11"/>
        <rFont val="Calibri"/>
        <family val="2"/>
        <scheme val="minor"/>
      </rPr>
      <t xml:space="preserve"> in %</t>
    </r>
  </si>
  <si>
    <t>Siebdurchgang</t>
  </si>
  <si>
    <t>Anteil</t>
  </si>
  <si>
    <r>
      <t>C</t>
    </r>
    <r>
      <rPr>
        <b/>
        <vertAlign val="subscript"/>
        <sz val="13"/>
        <color theme="1"/>
        <rFont val="Calibri"/>
        <family val="2"/>
        <scheme val="minor"/>
      </rPr>
      <t>UD</t>
    </r>
  </si>
  <si>
    <r>
      <t>C</t>
    </r>
    <r>
      <rPr>
        <b/>
        <vertAlign val="subscript"/>
        <sz val="13"/>
        <color theme="1"/>
        <rFont val="Calibri"/>
        <family val="2"/>
        <scheme val="minor"/>
      </rPr>
      <t>CD</t>
    </r>
  </si>
  <si>
    <t>Auswertung</t>
  </si>
  <si>
    <t>Anorganisch</t>
  </si>
  <si>
    <t>Organisch</t>
  </si>
  <si>
    <t>Boden:</t>
  </si>
  <si>
    <t>Bodenklasse</t>
  </si>
  <si>
    <t>Lösungsweg (Interpolation)</t>
  </si>
  <si>
    <r>
      <t>Probe</t>
    </r>
    <r>
      <rPr>
        <sz val="11"/>
        <rFont val="Calibri"/>
        <family val="2"/>
        <scheme val="minor"/>
      </rPr>
      <t xml:space="preserve"> in Gramm</t>
    </r>
  </si>
  <si>
    <t>Plastizität</t>
  </si>
  <si>
    <t>Ungleichförmigkeitszahl</t>
  </si>
  <si>
    <t>Krümmungskoeffizient</t>
  </si>
  <si>
    <t>Wert</t>
  </si>
  <si>
    <t>Beschreibung</t>
  </si>
  <si>
    <t>Was</t>
  </si>
  <si>
    <t>Plastizitätsindex</t>
  </si>
  <si>
    <t>Aus dem Plastizitätsdiagramm</t>
  </si>
  <si>
    <t>Klassiert die Feinanteile</t>
  </si>
  <si>
    <t>&lt; 1 % sonst Unbrauchbar</t>
  </si>
  <si>
    <t>0.125 + (10.000 - 10.800) * (0.063 - 0.125) ÷ (6.900 - 10.800) = 0.112</t>
  </si>
  <si>
    <t>0.500 + (30.000 - 33.810) * (0.250 - 0.500) ÷ (19.200 - 33.810) = 0.435</t>
  </si>
  <si>
    <t>4.000 + (60.000 - 64.480) * (2.000 - 4.000) ÷ (53.920 - 64.480) = 3.152</t>
  </si>
  <si>
    <r>
      <t xml:space="preserve">Schlämmanalyse
</t>
    </r>
    <r>
      <rPr>
        <sz val="11"/>
        <rFont val="Calibri"/>
        <family val="2"/>
        <scheme val="minor"/>
      </rPr>
      <t>in % 
Wenn die Schlämmanalyse nur in % angegeben ist, trage sie hier unten ein.</t>
    </r>
    <r>
      <rPr>
        <b/>
        <sz val="11"/>
        <rFont val="Calibri"/>
        <family val="2"/>
        <scheme val="minor"/>
      </rPr>
      <t xml:space="preserve">
</t>
    </r>
    <r>
      <rPr>
        <b/>
        <sz val="24"/>
        <rFont val="Calibri"/>
        <family val="2"/>
        <scheme val="minor"/>
      </rPr>
      <t>⬇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</si>
</sst>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"/>
    <numFmt numFmtId="166" formatCode="#,##0.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4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vertAlign val="subscript"/>
      <sz val="13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6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7F7F7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medium">
        <color indexed="64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/>
      <diagonal/>
    </border>
    <border>
      <left style="medium">
        <color indexed="64"/>
      </left>
      <right style="thin">
        <color rgb="FFB2B2B2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4" fillId="0" borderId="0" applyNumberFormat="0" applyFill="0" applyBorder="0" applyAlignment="0" applyProtection="0"/>
  </cellStyleXfs>
  <cellXfs count="154">
    <xf numFmtId="0" fontId="0" fillId="0" borderId="0" xfId="0"/>
    <xf numFmtId="0" fontId="5" fillId="4" borderId="4" xfId="0" applyFont="1" applyFill="1" applyBorder="1" applyAlignment="1">
      <alignment horizontal="left"/>
    </xf>
    <xf numFmtId="0" fontId="5" fillId="4" borderId="5" xfId="0" applyFont="1" applyFill="1" applyBorder="1" applyAlignment="1">
      <alignment horizontal="center"/>
    </xf>
    <xf numFmtId="0" fontId="5" fillId="4" borderId="5" xfId="0" applyFont="1" applyFill="1" applyBorder="1"/>
    <xf numFmtId="0" fontId="6" fillId="4" borderId="6" xfId="3" applyFont="1" applyFill="1" applyBorder="1" applyAlignment="1" applyProtection="1">
      <alignment horizontal="right"/>
    </xf>
    <xf numFmtId="0" fontId="3" fillId="0" borderId="0" xfId="0" applyFont="1"/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8" fillId="0" borderId="0" xfId="0" applyFont="1"/>
    <xf numFmtId="4" fontId="0" fillId="0" borderId="0" xfId="0" applyNumberFormat="1"/>
    <xf numFmtId="2" fontId="0" fillId="0" borderId="0" xfId="0" applyNumberFormat="1"/>
    <xf numFmtId="0" fontId="9" fillId="0" borderId="0" xfId="0" applyFont="1"/>
    <xf numFmtId="0" fontId="7" fillId="5" borderId="16" xfId="0" applyFont="1" applyFill="1" applyBorder="1" applyAlignment="1">
      <alignment horizontal="center" vertical="center"/>
    </xf>
    <xf numFmtId="0" fontId="3" fillId="0" borderId="30" xfId="0" applyFont="1" applyBorder="1" applyAlignment="1">
      <alignment horizontal="right"/>
    </xf>
    <xf numFmtId="0" fontId="3" fillId="8" borderId="10" xfId="0" applyFont="1" applyFill="1" applyBorder="1" applyAlignment="1">
      <alignment horizontal="right"/>
    </xf>
    <xf numFmtId="0" fontId="3" fillId="0" borderId="33" xfId="0" applyFont="1" applyBorder="1" applyAlignment="1">
      <alignment horizontal="right"/>
    </xf>
    <xf numFmtId="0" fontId="3" fillId="0" borderId="0" xfId="0" applyFont="1" applyProtection="1">
      <protection locked="0"/>
    </xf>
    <xf numFmtId="0" fontId="0" fillId="0" borderId="0" xfId="0" applyProtection="1">
      <protection locked="0"/>
    </xf>
    <xf numFmtId="0" fontId="3" fillId="0" borderId="0" xfId="0" applyFont="1" applyAlignment="1">
      <alignment vertical="center"/>
    </xf>
    <xf numFmtId="0" fontId="7" fillId="5" borderId="17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4" fontId="3" fillId="0" borderId="21" xfId="0" applyNumberFormat="1" applyFont="1" applyBorder="1"/>
    <xf numFmtId="0" fontId="10" fillId="0" borderId="17" xfId="0" applyFont="1" applyBorder="1" applyAlignment="1">
      <alignment horizontal="right"/>
    </xf>
    <xf numFmtId="0" fontId="7" fillId="5" borderId="18" xfId="0" applyFont="1" applyFill="1" applyBorder="1" applyAlignment="1">
      <alignment horizontal="center" vertical="center"/>
    </xf>
    <xf numFmtId="0" fontId="7" fillId="2" borderId="23" xfId="1" applyFont="1" applyBorder="1" applyProtection="1">
      <protection locked="0"/>
    </xf>
    <xf numFmtId="0" fontId="7" fillId="2" borderId="24" xfId="1" applyFont="1" applyBorder="1" applyProtection="1">
      <protection locked="0"/>
    </xf>
    <xf numFmtId="0" fontId="7" fillId="2" borderId="58" xfId="1" applyFont="1" applyBorder="1" applyProtection="1">
      <protection locked="0"/>
    </xf>
    <xf numFmtId="0" fontId="7" fillId="5" borderId="4" xfId="0" applyFont="1" applyFill="1" applyBorder="1" applyAlignment="1">
      <alignment vertical="center"/>
    </xf>
    <xf numFmtId="0" fontId="10" fillId="8" borderId="19" xfId="0" applyFont="1" applyFill="1" applyBorder="1" applyAlignment="1">
      <alignment horizontal="right"/>
    </xf>
    <xf numFmtId="0" fontId="3" fillId="0" borderId="19" xfId="0" applyFont="1" applyBorder="1" applyAlignment="1">
      <alignment horizontal="right"/>
    </xf>
    <xf numFmtId="0" fontId="3" fillId="8" borderId="21" xfId="0" applyFont="1" applyFill="1" applyBorder="1" applyAlignment="1">
      <alignment horizontal="right"/>
    </xf>
    <xf numFmtId="0" fontId="0" fillId="0" borderId="17" xfId="0" applyBorder="1" applyAlignment="1">
      <alignment horizontal="right"/>
    </xf>
    <xf numFmtId="0" fontId="0" fillId="8" borderId="19" xfId="0" applyFill="1" applyBorder="1" applyAlignment="1">
      <alignment horizontal="right"/>
    </xf>
    <xf numFmtId="0" fontId="0" fillId="0" borderId="19" xfId="0" applyBorder="1" applyAlignment="1">
      <alignment horizontal="right"/>
    </xf>
    <xf numFmtId="164" fontId="0" fillId="0" borderId="11" xfId="0" applyNumberFormat="1" applyBorder="1" applyAlignment="1">
      <alignment horizontal="right"/>
    </xf>
    <xf numFmtId="0" fontId="0" fillId="0" borderId="11" xfId="0" applyBorder="1" applyAlignment="1">
      <alignment horizontal="right"/>
    </xf>
    <xf numFmtId="164" fontId="0" fillId="8" borderId="3" xfId="0" applyNumberFormat="1" applyFill="1" applyBorder="1" applyAlignment="1">
      <alignment horizontal="right"/>
    </xf>
    <xf numFmtId="0" fontId="0" fillId="8" borderId="3" xfId="0" applyFill="1" applyBorder="1" applyAlignment="1">
      <alignment horizontal="right"/>
    </xf>
    <xf numFmtId="164" fontId="0" fillId="0" borderId="15" xfId="0" applyNumberFormat="1" applyBorder="1" applyAlignment="1">
      <alignment horizontal="right"/>
    </xf>
    <xf numFmtId="0" fontId="0" fillId="0" borderId="15" xfId="0" applyBorder="1" applyAlignment="1">
      <alignment horizontal="right"/>
    </xf>
    <xf numFmtId="166" fontId="0" fillId="0" borderId="56" xfId="0" applyNumberFormat="1" applyBorder="1"/>
    <xf numFmtId="166" fontId="0" fillId="8" borderId="59" xfId="0" applyNumberFormat="1" applyFill="1" applyBorder="1"/>
    <xf numFmtId="0" fontId="0" fillId="0" borderId="59" xfId="0" applyBorder="1" applyAlignment="1">
      <alignment horizontal="right"/>
    </xf>
    <xf numFmtId="165" fontId="0" fillId="0" borderId="0" xfId="0" applyNumberFormat="1"/>
    <xf numFmtId="166" fontId="3" fillId="8" borderId="57" xfId="0" applyNumberFormat="1" applyFont="1" applyFill="1" applyBorder="1" applyAlignment="1">
      <alignment horizontal="center"/>
    </xf>
    <xf numFmtId="4" fontId="0" fillId="8" borderId="51" xfId="0" applyNumberFormat="1" applyFill="1" applyBorder="1"/>
    <xf numFmtId="4" fontId="0" fillId="8" borderId="60" xfId="0" applyNumberFormat="1" applyFill="1" applyBorder="1"/>
    <xf numFmtId="4" fontId="3" fillId="0" borderId="61" xfId="0" applyNumberFormat="1" applyFont="1" applyBorder="1"/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12" fillId="9" borderId="17" xfId="0" applyFont="1" applyFill="1" applyBorder="1" applyAlignment="1">
      <alignment horizontal="center" vertical="center" wrapText="1"/>
    </xf>
    <xf numFmtId="0" fontId="12" fillId="9" borderId="16" xfId="0" applyFont="1" applyFill="1" applyBorder="1" applyAlignment="1">
      <alignment horizontal="center" vertical="center" wrapText="1"/>
    </xf>
    <xf numFmtId="0" fontId="12" fillId="9" borderId="18" xfId="0" applyFont="1" applyFill="1" applyBorder="1" applyAlignment="1">
      <alignment horizontal="center" vertical="center" wrapText="1"/>
    </xf>
    <xf numFmtId="0" fontId="12" fillId="9" borderId="19" xfId="0" applyFont="1" applyFill="1" applyBorder="1" applyAlignment="1">
      <alignment horizontal="center" vertical="center" wrapText="1"/>
    </xf>
    <xf numFmtId="0" fontId="12" fillId="9" borderId="0" xfId="0" applyFont="1" applyFill="1" applyAlignment="1">
      <alignment horizontal="center" vertical="center" wrapText="1"/>
    </xf>
    <xf numFmtId="0" fontId="12" fillId="9" borderId="20" xfId="0" applyFont="1" applyFill="1" applyBorder="1" applyAlignment="1">
      <alignment horizontal="center" vertical="center" wrapText="1"/>
    </xf>
    <xf numFmtId="0" fontId="13" fillId="9" borderId="19" xfId="0" applyFont="1" applyFill="1" applyBorder="1" applyAlignment="1">
      <alignment horizontal="center" vertical="center" wrapText="1"/>
    </xf>
    <xf numFmtId="0" fontId="13" fillId="9" borderId="0" xfId="0" applyFont="1" applyFill="1" applyAlignment="1">
      <alignment horizontal="center" vertical="center" wrapText="1"/>
    </xf>
    <xf numFmtId="0" fontId="13" fillId="9" borderId="20" xfId="0" applyFont="1" applyFill="1" applyBorder="1" applyAlignment="1">
      <alignment horizontal="center" vertical="center" wrapText="1"/>
    </xf>
    <xf numFmtId="0" fontId="13" fillId="9" borderId="21" xfId="0" applyFont="1" applyFill="1" applyBorder="1" applyAlignment="1">
      <alignment horizontal="center" vertical="center" wrapText="1"/>
    </xf>
    <xf numFmtId="0" fontId="13" fillId="9" borderId="25" xfId="0" applyFont="1" applyFill="1" applyBorder="1" applyAlignment="1">
      <alignment horizontal="center" vertical="center" wrapText="1"/>
    </xf>
    <xf numFmtId="0" fontId="13" fillId="9" borderId="22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left" vertical="center"/>
    </xf>
    <xf numFmtId="0" fontId="7" fillId="5" borderId="6" xfId="0" applyFont="1" applyFill="1" applyBorder="1" applyAlignment="1">
      <alignment horizontal="left" vertical="center"/>
    </xf>
    <xf numFmtId="166" fontId="0" fillId="0" borderId="56" xfId="0" applyNumberFormat="1" applyBorder="1" applyAlignment="1">
      <alignment horizontal="center"/>
    </xf>
    <xf numFmtId="166" fontId="0" fillId="0" borderId="11" xfId="0" applyNumberFormat="1" applyBorder="1" applyAlignment="1">
      <alignment horizontal="center"/>
    </xf>
    <xf numFmtId="166" fontId="0" fillId="8" borderId="59" xfId="0" applyNumberFormat="1" applyFill="1" applyBorder="1" applyAlignment="1">
      <alignment horizontal="center"/>
    </xf>
    <xf numFmtId="166" fontId="0" fillId="8" borderId="3" xfId="0" applyNumberFormat="1" applyFill="1" applyBorder="1" applyAlignment="1">
      <alignment horizontal="center"/>
    </xf>
    <xf numFmtId="166" fontId="0" fillId="8" borderId="57" xfId="0" applyNumberFormat="1" applyFill="1" applyBorder="1" applyAlignment="1">
      <alignment horizontal="center"/>
    </xf>
    <xf numFmtId="166" fontId="0" fillId="8" borderId="15" xfId="0" applyNumberFormat="1" applyFill="1" applyBorder="1" applyAlignment="1">
      <alignment horizontal="center"/>
    </xf>
    <xf numFmtId="0" fontId="0" fillId="0" borderId="19" xfId="0" applyBorder="1" applyAlignment="1">
      <alignment horizontal="right"/>
    </xf>
    <xf numFmtId="0" fontId="0" fillId="8" borderId="19" xfId="0" applyFill="1" applyBorder="1" applyAlignment="1">
      <alignment horizontal="right"/>
    </xf>
    <xf numFmtId="4" fontId="3" fillId="3" borderId="38" xfId="2" applyNumberFormat="1" applyFont="1" applyBorder="1" applyAlignment="1">
      <alignment horizontal="left" vertical="center"/>
    </xf>
    <xf numFmtId="4" fontId="3" fillId="3" borderId="52" xfId="2" applyNumberFormat="1" applyFont="1" applyBorder="1" applyAlignment="1">
      <alignment horizontal="left" vertical="center"/>
    </xf>
    <xf numFmtId="4" fontId="3" fillId="3" borderId="53" xfId="2" applyNumberFormat="1" applyFont="1" applyBorder="1" applyAlignment="1">
      <alignment horizontal="left" vertical="center"/>
    </xf>
    <xf numFmtId="0" fontId="3" fillId="3" borderId="39" xfId="2" applyFont="1" applyBorder="1" applyAlignment="1">
      <alignment horizontal="left" vertical="center"/>
    </xf>
    <xf numFmtId="0" fontId="3" fillId="3" borderId="2" xfId="2" applyFont="1" applyAlignment="1">
      <alignment horizontal="left" vertical="center"/>
    </xf>
    <xf numFmtId="0" fontId="3" fillId="3" borderId="14" xfId="2" applyFont="1" applyBorder="1" applyAlignment="1">
      <alignment horizontal="left" vertical="center"/>
    </xf>
    <xf numFmtId="0" fontId="3" fillId="3" borderId="54" xfId="2" applyFont="1" applyBorder="1" applyAlignment="1">
      <alignment horizontal="left" vertical="center"/>
    </xf>
    <xf numFmtId="0" fontId="3" fillId="3" borderId="55" xfId="2" applyFont="1" applyBorder="1" applyAlignment="1">
      <alignment horizontal="left" vertical="center"/>
    </xf>
    <xf numFmtId="0" fontId="3" fillId="3" borderId="37" xfId="2" applyFont="1" applyBorder="1" applyAlignment="1">
      <alignment horizontal="left" vertical="center"/>
    </xf>
    <xf numFmtId="2" fontId="0" fillId="3" borderId="26" xfId="2" applyNumberFormat="1" applyFont="1" applyBorder="1" applyAlignment="1" applyProtection="1">
      <alignment horizontal="center" vertical="center"/>
    </xf>
    <xf numFmtId="2" fontId="0" fillId="3" borderId="27" xfId="2" applyNumberFormat="1" applyFont="1" applyBorder="1" applyAlignment="1" applyProtection="1">
      <alignment horizontal="center" vertical="center"/>
    </xf>
    <xf numFmtId="2" fontId="0" fillId="3" borderId="31" xfId="2" applyNumberFormat="1" applyFont="1" applyBorder="1" applyAlignment="1" applyProtection="1">
      <alignment horizontal="center" vertical="center"/>
    </xf>
    <xf numFmtId="2" fontId="0" fillId="7" borderId="28" xfId="2" applyNumberFormat="1" applyFont="1" applyFill="1" applyBorder="1" applyAlignment="1" applyProtection="1">
      <alignment horizontal="center" vertical="center"/>
    </xf>
    <xf numFmtId="2" fontId="0" fillId="7" borderId="29" xfId="2" applyNumberFormat="1" applyFont="1" applyFill="1" applyBorder="1" applyAlignment="1" applyProtection="1">
      <alignment horizontal="center" vertical="center"/>
    </xf>
    <xf numFmtId="2" fontId="0" fillId="7" borderId="32" xfId="2" applyNumberFormat="1" applyFont="1" applyFill="1" applyBorder="1" applyAlignment="1" applyProtection="1">
      <alignment horizontal="center" vertical="center"/>
    </xf>
    <xf numFmtId="2" fontId="0" fillId="3" borderId="34" xfId="2" applyNumberFormat="1" applyFont="1" applyBorder="1" applyAlignment="1" applyProtection="1">
      <alignment horizontal="center" vertical="center"/>
    </xf>
    <xf numFmtId="2" fontId="0" fillId="3" borderId="35" xfId="2" applyNumberFormat="1" applyFont="1" applyBorder="1" applyAlignment="1" applyProtection="1">
      <alignment horizontal="center" vertical="center"/>
    </xf>
    <xf numFmtId="2" fontId="0" fillId="3" borderId="36" xfId="2" applyNumberFormat="1" applyFont="1" applyBorder="1" applyAlignment="1" applyProtection="1">
      <alignment horizontal="center" vertical="center"/>
    </xf>
    <xf numFmtId="2" fontId="0" fillId="3" borderId="56" xfId="2" applyNumberFormat="1" applyFont="1" applyBorder="1" applyAlignment="1" applyProtection="1">
      <alignment horizontal="center" vertical="center"/>
    </xf>
    <xf numFmtId="2" fontId="0" fillId="3" borderId="16" xfId="2" applyNumberFormat="1" applyFont="1" applyBorder="1" applyAlignment="1" applyProtection="1">
      <alignment horizontal="center" vertical="center"/>
    </xf>
    <xf numFmtId="2" fontId="0" fillId="3" borderId="18" xfId="2" applyNumberFormat="1" applyFont="1" applyBorder="1" applyAlignment="1" applyProtection="1">
      <alignment horizontal="center" vertical="center"/>
    </xf>
    <xf numFmtId="2" fontId="0" fillId="7" borderId="59" xfId="2" applyNumberFormat="1" applyFont="1" applyFill="1" applyBorder="1" applyAlignment="1" applyProtection="1">
      <alignment horizontal="center" vertical="center"/>
    </xf>
    <xf numFmtId="2" fontId="0" fillId="7" borderId="0" xfId="2" applyNumberFormat="1" applyFont="1" applyFill="1" applyBorder="1" applyAlignment="1" applyProtection="1">
      <alignment horizontal="center" vertical="center"/>
    </xf>
    <xf numFmtId="2" fontId="0" fillId="7" borderId="20" xfId="2" applyNumberFormat="1" applyFont="1" applyFill="1" applyBorder="1" applyAlignment="1" applyProtection="1">
      <alignment horizontal="center" vertical="center"/>
    </xf>
    <xf numFmtId="2" fontId="0" fillId="3" borderId="59" xfId="2" applyNumberFormat="1" applyFont="1" applyBorder="1" applyAlignment="1" applyProtection="1">
      <alignment horizontal="center" vertical="center"/>
    </xf>
    <xf numFmtId="2" fontId="0" fillId="3" borderId="0" xfId="2" applyNumberFormat="1" applyFont="1" applyBorder="1" applyAlignment="1" applyProtection="1">
      <alignment horizontal="center" vertical="center"/>
    </xf>
    <xf numFmtId="2" fontId="0" fillId="3" borderId="20" xfId="2" applyNumberFormat="1" applyFont="1" applyBorder="1" applyAlignment="1" applyProtection="1">
      <alignment horizontal="center" vertical="center"/>
    </xf>
    <xf numFmtId="2" fontId="0" fillId="7" borderId="57" xfId="2" applyNumberFormat="1" applyFont="1" applyFill="1" applyBorder="1" applyAlignment="1" applyProtection="1">
      <alignment horizontal="center" vertical="center"/>
    </xf>
    <xf numFmtId="2" fontId="0" fillId="7" borderId="25" xfId="2" applyNumberFormat="1" applyFont="1" applyFill="1" applyBorder="1" applyAlignment="1" applyProtection="1">
      <alignment horizontal="center" vertical="center"/>
    </xf>
    <xf numFmtId="2" fontId="0" fillId="7" borderId="22" xfId="2" applyNumberFormat="1" applyFont="1" applyFill="1" applyBorder="1" applyAlignment="1" applyProtection="1">
      <alignment horizontal="center" vertical="center"/>
    </xf>
    <xf numFmtId="0" fontId="0" fillId="2" borderId="42" xfId="1" applyNumberFormat="1" applyFont="1" applyBorder="1" applyAlignment="1" applyProtection="1">
      <alignment horizontal="right" vertical="center"/>
      <protection locked="0"/>
    </xf>
    <xf numFmtId="2" fontId="1" fillId="3" borderId="38" xfId="2" applyNumberFormat="1" applyFont="1" applyBorder="1" applyAlignment="1" applyProtection="1">
      <alignment horizontal="right" vertical="center"/>
    </xf>
    <xf numFmtId="2" fontId="1" fillId="3" borderId="43" xfId="2" applyNumberFormat="1" applyFont="1" applyBorder="1" applyAlignment="1" applyProtection="1">
      <alignment horizontal="right" vertical="center"/>
    </xf>
    <xf numFmtId="0" fontId="0" fillId="6" borderId="44" xfId="1" applyNumberFormat="1" applyFont="1" applyFill="1" applyBorder="1" applyAlignment="1" applyProtection="1">
      <alignment horizontal="right" vertical="center"/>
      <protection locked="0"/>
    </xf>
    <xf numFmtId="2" fontId="1" fillId="7" borderId="39" xfId="2" applyNumberFormat="1" applyFont="1" applyFill="1" applyBorder="1" applyAlignment="1" applyProtection="1">
      <alignment horizontal="right" vertical="center"/>
    </xf>
    <xf numFmtId="2" fontId="1" fillId="7" borderId="14" xfId="2" applyNumberFormat="1" applyFont="1" applyFill="1" applyBorder="1" applyAlignment="1" applyProtection="1">
      <alignment horizontal="right" vertical="center"/>
    </xf>
    <xf numFmtId="0" fontId="0" fillId="2" borderId="44" xfId="1" applyFont="1" applyBorder="1" applyAlignment="1" applyProtection="1">
      <alignment horizontal="right" vertical="center"/>
      <protection locked="0"/>
    </xf>
    <xf numFmtId="2" fontId="1" fillId="3" borderId="40" xfId="2" applyNumberFormat="1" applyFont="1" applyBorder="1" applyAlignment="1" applyProtection="1">
      <alignment horizontal="right" vertical="center"/>
    </xf>
    <xf numFmtId="2" fontId="1" fillId="3" borderId="12" xfId="2" applyNumberFormat="1" applyFont="1" applyBorder="1" applyAlignment="1" applyProtection="1">
      <alignment horizontal="right" vertical="center"/>
    </xf>
    <xf numFmtId="0" fontId="0" fillId="2" borderId="45" xfId="1" applyFont="1" applyBorder="1" applyAlignment="1" applyProtection="1">
      <alignment horizontal="right" vertical="center"/>
      <protection locked="0"/>
    </xf>
    <xf numFmtId="2" fontId="1" fillId="3" borderId="41" xfId="2" applyNumberFormat="1" applyFont="1" applyBorder="1" applyAlignment="1" applyProtection="1">
      <alignment horizontal="right" vertical="center"/>
    </xf>
    <xf numFmtId="2" fontId="1" fillId="3" borderId="13" xfId="2" applyNumberFormat="1" applyFont="1" applyBorder="1" applyAlignment="1" applyProtection="1">
      <alignment horizontal="right" vertical="center"/>
    </xf>
    <xf numFmtId="0" fontId="0" fillId="6" borderId="46" xfId="1" applyNumberFormat="1" applyFont="1" applyFill="1" applyBorder="1" applyAlignment="1" applyProtection="1">
      <alignment horizontal="right" vertical="center"/>
      <protection locked="0"/>
    </xf>
    <xf numFmtId="0" fontId="0" fillId="2" borderId="46" xfId="1" applyFont="1" applyBorder="1" applyAlignment="1" applyProtection="1">
      <alignment horizontal="right" vertical="center"/>
      <protection locked="0"/>
    </xf>
    <xf numFmtId="2" fontId="1" fillId="3" borderId="39" xfId="2" applyNumberFormat="1" applyFont="1" applyBorder="1" applyAlignment="1" applyProtection="1">
      <alignment horizontal="right" vertical="center"/>
    </xf>
    <xf numFmtId="2" fontId="1" fillId="3" borderId="12" xfId="2" applyNumberFormat="1" applyFont="1" applyBorder="1" applyAlignment="1" applyProtection="1">
      <alignment horizontal="right" vertical="center"/>
    </xf>
    <xf numFmtId="0" fontId="0" fillId="6" borderId="44" xfId="1" applyNumberFormat="1" applyFont="1" applyFill="1" applyBorder="1" applyAlignment="1" applyProtection="1">
      <alignment horizontal="right" vertical="center"/>
      <protection locked="0"/>
    </xf>
    <xf numFmtId="2" fontId="1" fillId="7" borderId="40" xfId="2" applyNumberFormat="1" applyFont="1" applyFill="1" applyBorder="1" applyAlignment="1" applyProtection="1">
      <alignment horizontal="right" vertical="center"/>
    </xf>
    <xf numFmtId="2" fontId="1" fillId="7" borderId="12" xfId="2" applyNumberFormat="1" applyFont="1" applyFill="1" applyBorder="1" applyAlignment="1" applyProtection="1">
      <alignment horizontal="right" vertical="center"/>
    </xf>
    <xf numFmtId="0" fontId="0" fillId="6" borderId="45" xfId="1" applyNumberFormat="1" applyFont="1" applyFill="1" applyBorder="1" applyAlignment="1" applyProtection="1">
      <alignment horizontal="right" vertical="center"/>
      <protection locked="0"/>
    </xf>
    <xf numFmtId="2" fontId="1" fillId="7" borderId="41" xfId="2" applyNumberFormat="1" applyFont="1" applyFill="1" applyBorder="1" applyAlignment="1" applyProtection="1">
      <alignment horizontal="right" vertical="center"/>
    </xf>
    <xf numFmtId="2" fontId="1" fillId="7" borderId="13" xfId="2" applyNumberFormat="1" applyFont="1" applyFill="1" applyBorder="1" applyAlignment="1" applyProtection="1">
      <alignment horizontal="right" vertical="center"/>
    </xf>
    <xf numFmtId="0" fontId="0" fillId="6" borderId="48" xfId="1" applyNumberFormat="1" applyFont="1" applyFill="1" applyBorder="1" applyAlignment="1" applyProtection="1">
      <alignment horizontal="right" vertical="center"/>
      <protection locked="0"/>
    </xf>
    <xf numFmtId="0" fontId="0" fillId="6" borderId="49" xfId="1" applyNumberFormat="1" applyFont="1" applyFill="1" applyBorder="1" applyAlignment="1" applyProtection="1">
      <alignment horizontal="right" vertical="center"/>
      <protection locked="0"/>
    </xf>
    <xf numFmtId="0" fontId="0" fillId="2" borderId="45" xfId="1" applyFont="1" applyBorder="1" applyAlignment="1" applyProtection="1">
      <alignment horizontal="right" vertical="center"/>
      <protection locked="0"/>
    </xf>
    <xf numFmtId="0" fontId="0" fillId="2" borderId="44" xfId="1" applyFont="1" applyBorder="1" applyAlignment="1" applyProtection="1">
      <alignment horizontal="right" vertical="center"/>
      <protection locked="0"/>
    </xf>
    <xf numFmtId="2" fontId="1" fillId="3" borderId="54" xfId="2" applyNumberFormat="1" applyFont="1" applyBorder="1" applyAlignment="1" applyProtection="1">
      <alignment horizontal="right" vertical="center"/>
    </xf>
    <xf numFmtId="2" fontId="1" fillId="3" borderId="37" xfId="2" applyNumberFormat="1" applyFont="1" applyBorder="1" applyAlignment="1" applyProtection="1">
      <alignment horizontal="right" vertical="center"/>
    </xf>
    <xf numFmtId="0" fontId="9" fillId="6" borderId="7" xfId="1" applyNumberFormat="1" applyFont="1" applyFill="1" applyBorder="1" applyAlignment="1" applyProtection="1">
      <alignment horizontal="right" vertical="center"/>
      <protection locked="0"/>
    </xf>
    <xf numFmtId="0" fontId="9" fillId="6" borderId="49" xfId="1" applyNumberFormat="1" applyFont="1" applyFill="1" applyBorder="1" applyAlignment="1" applyProtection="1">
      <alignment horizontal="right" vertical="center"/>
      <protection locked="0"/>
    </xf>
    <xf numFmtId="0" fontId="9" fillId="2" borderId="47" xfId="1" applyFont="1" applyBorder="1" applyAlignment="1" applyProtection="1">
      <alignment horizontal="right" vertical="center"/>
      <protection locked="0"/>
    </xf>
    <xf numFmtId="0" fontId="9" fillId="6" borderId="47" xfId="1" applyNumberFormat="1" applyFont="1" applyFill="1" applyBorder="1" applyAlignment="1" applyProtection="1">
      <alignment horizontal="right" vertical="center"/>
      <protection locked="0"/>
    </xf>
    <xf numFmtId="0" fontId="9" fillId="6" borderId="48" xfId="1" applyNumberFormat="1" applyFont="1" applyFill="1" applyBorder="1" applyAlignment="1" applyProtection="1">
      <alignment horizontal="right" vertical="center"/>
      <protection locked="0"/>
    </xf>
    <xf numFmtId="0" fontId="9" fillId="2" borderId="50" xfId="1" applyFont="1" applyBorder="1" applyAlignment="1" applyProtection="1">
      <alignment horizontal="right" vertical="center"/>
      <protection locked="0"/>
    </xf>
    <xf numFmtId="0" fontId="3" fillId="0" borderId="0" xfId="0" applyFont="1" applyAlignment="1">
      <alignment horizontal="right" vertical="center"/>
    </xf>
    <xf numFmtId="2" fontId="3" fillId="9" borderId="7" xfId="0" applyNumberFormat="1" applyFont="1" applyFill="1" applyBorder="1" applyAlignment="1">
      <alignment horizontal="center" vertical="center" wrapText="1"/>
    </xf>
    <xf numFmtId="0" fontId="3" fillId="9" borderId="8" xfId="0" applyFont="1" applyFill="1" applyBorder="1" applyAlignment="1">
      <alignment horizontal="center" vertical="center" wrapText="1"/>
    </xf>
    <xf numFmtId="0" fontId="3" fillId="9" borderId="9" xfId="0" applyFont="1" applyFill="1" applyBorder="1" applyAlignment="1">
      <alignment horizontal="center" vertical="center" wrapText="1"/>
    </xf>
    <xf numFmtId="0" fontId="3" fillId="9" borderId="7" xfId="0" applyFont="1" applyFill="1" applyBorder="1" applyAlignment="1">
      <alignment horizontal="center" vertical="center" wrapText="1"/>
    </xf>
    <xf numFmtId="0" fontId="3" fillId="10" borderId="17" xfId="0" applyFont="1" applyFill="1" applyBorder="1" applyAlignment="1">
      <alignment horizontal="center" vertical="center" textRotation="90"/>
    </xf>
    <xf numFmtId="0" fontId="3" fillId="10" borderId="18" xfId="0" applyFont="1" applyFill="1" applyBorder="1" applyAlignment="1">
      <alignment horizontal="center" vertical="center" textRotation="90"/>
    </xf>
    <xf numFmtId="0" fontId="3" fillId="10" borderId="19" xfId="0" applyFont="1" applyFill="1" applyBorder="1" applyAlignment="1">
      <alignment horizontal="center" vertical="center" textRotation="90"/>
    </xf>
    <xf numFmtId="0" fontId="3" fillId="10" borderId="20" xfId="0" applyFont="1" applyFill="1" applyBorder="1" applyAlignment="1">
      <alignment horizontal="center" vertical="center" textRotation="90"/>
    </xf>
    <xf numFmtId="0" fontId="3" fillId="10" borderId="21" xfId="0" applyFont="1" applyFill="1" applyBorder="1" applyAlignment="1">
      <alignment horizontal="center" vertical="center" textRotation="90"/>
    </xf>
    <xf numFmtId="0" fontId="3" fillId="10" borderId="22" xfId="0" applyFont="1" applyFill="1" applyBorder="1" applyAlignment="1">
      <alignment horizontal="center" vertical="center" textRotation="90"/>
    </xf>
    <xf numFmtId="0" fontId="7" fillId="5" borderId="7" xfId="0" applyFont="1" applyFill="1" applyBorder="1" applyAlignment="1">
      <alignment horizontal="center" vertical="center" wrapText="1"/>
    </xf>
    <xf numFmtId="0" fontId="7" fillId="5" borderId="8" xfId="0" applyFont="1" applyFill="1" applyBorder="1" applyAlignment="1">
      <alignment horizontal="center" vertical="center" wrapText="1"/>
    </xf>
    <xf numFmtId="0" fontId="7" fillId="5" borderId="9" xfId="0" applyFont="1" applyFill="1" applyBorder="1" applyAlignment="1">
      <alignment horizontal="center" vertical="center" wrapText="1"/>
    </xf>
  </cellXfs>
  <cellStyles count="4">
    <cellStyle name="Eingabe" xfId="1" builtinId="20"/>
    <cellStyle name="Link" xfId="3" builtinId="8"/>
    <cellStyle name="Notiz" xfId="2" builtinId="10"/>
    <cellStyle name="Standard" xfId="0" builtinId="0"/>
  </cellStyles>
  <dxfs count="2">
    <dxf>
      <font>
        <color theme="6" tint="-0.499984740745262"/>
      </font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>
                <a:solidFill>
                  <a:schemeClr val="tx1"/>
                </a:solidFill>
              </a:rPr>
              <a:t>Siebkurve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Siebdaten + Zusatzpunkte</c:v>
          </c:tx>
          <c:spPr>
            <a:ln w="25400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147A-4DDF-966C-A32B6DA1657D}"/>
              </c:ext>
            </c:extLst>
          </c:dPt>
          <c:dPt>
            <c:idx val="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147A-4DDF-966C-A32B6DA1657D}"/>
              </c:ext>
            </c:extLst>
          </c:dPt>
          <c:dPt>
            <c:idx val="2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147A-4DDF-966C-A32B6DA1657D}"/>
              </c:ext>
            </c:extLst>
          </c:dPt>
          <c:dPt>
            <c:idx val="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147A-4DDF-966C-A32B6DA1657D}"/>
              </c:ext>
            </c:extLst>
          </c:dPt>
          <c:dPt>
            <c:idx val="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147A-4DDF-966C-A32B6DA1657D}"/>
              </c:ext>
            </c:extLst>
          </c:dPt>
          <c:dPt>
            <c:idx val="5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147A-4DDF-966C-A32B6DA1657D}"/>
              </c:ext>
            </c:extLst>
          </c:dPt>
          <c:dPt>
            <c:idx val="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147A-4DDF-966C-A32B6DA1657D}"/>
              </c:ext>
            </c:extLst>
          </c:dPt>
          <c:dPt>
            <c:idx val="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147A-4DDF-966C-A32B6DA1657D}"/>
              </c:ext>
            </c:extLst>
          </c:dPt>
          <c:dPt>
            <c:idx val="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147A-4DDF-966C-A32B6DA1657D}"/>
              </c:ext>
            </c:extLst>
          </c:dPt>
          <c:dPt>
            <c:idx val="9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147A-4DDF-966C-A32B6DA1657D}"/>
              </c:ext>
            </c:extLst>
          </c:dPt>
          <c:dPt>
            <c:idx val="1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147A-4DDF-966C-A32B6DA1657D}"/>
              </c:ext>
            </c:extLst>
          </c:dPt>
          <c:dPt>
            <c:idx val="1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147A-4DDF-966C-A32B6DA1657D}"/>
              </c:ext>
            </c:extLst>
          </c:dPt>
          <c:dPt>
            <c:idx val="1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147A-4DDF-966C-A32B6DA1657D}"/>
              </c:ext>
            </c:extLst>
          </c:dPt>
          <c:dPt>
            <c:idx val="1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147A-4DDF-966C-A32B6DA1657D}"/>
              </c:ext>
            </c:extLst>
          </c:dPt>
          <c:dPt>
            <c:idx val="1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147A-4DDF-966C-A32B6DA1657D}"/>
              </c:ext>
            </c:extLst>
          </c:dPt>
          <c:dPt>
            <c:idx val="1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147A-4DDF-966C-A32B6DA1657D}"/>
              </c:ext>
            </c:extLst>
          </c:dPt>
          <c:dPt>
            <c:idx val="1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6C0D-4C54-A8D5-925A06E897FC}"/>
              </c:ext>
            </c:extLst>
          </c:dPt>
          <c:dPt>
            <c:idx val="1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6C0D-4C54-A8D5-925A06E897FC}"/>
              </c:ext>
            </c:extLst>
          </c:dPt>
          <c:dPt>
            <c:idx val="1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6C0D-4C54-A8D5-925A06E897FC}"/>
              </c:ext>
            </c:extLst>
          </c:dPt>
          <c:dPt>
            <c:idx val="1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6C0D-4C54-A8D5-925A06E897FC}"/>
              </c:ext>
            </c:extLst>
          </c:dPt>
          <c:dPt>
            <c:idx val="2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6C0D-4C54-A8D5-925A06E897FC}"/>
              </c:ext>
            </c:extLst>
          </c:dPt>
          <c:dPt>
            <c:idx val="2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6C0D-4C54-A8D5-925A06E897FC}"/>
              </c:ext>
            </c:extLst>
          </c:dPt>
          <c:dPt>
            <c:idx val="2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4122-46B2-9916-FBFFF0BC39E9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5"/>
              <c:pt idx="0">
                <c:v>0.06</c:v>
              </c:pt>
              <c:pt idx="1">
                <c:v>6.3E-2</c:v>
              </c:pt>
              <c:pt idx="2">
                <c:v>0.112</c:v>
              </c:pt>
              <c:pt idx="3">
                <c:v>0.125</c:v>
              </c:pt>
              <c:pt idx="4">
                <c:v>0.25</c:v>
              </c:pt>
              <c:pt idx="5">
                <c:v>0.435</c:v>
              </c:pt>
              <c:pt idx="6">
                <c:v>0.5</c:v>
              </c:pt>
              <c:pt idx="7">
                <c:v>1</c:v>
              </c:pt>
              <c:pt idx="8">
                <c:v>2</c:v>
              </c:pt>
              <c:pt idx="9">
                <c:v>3.1520000000000001</c:v>
              </c:pt>
              <c:pt idx="10">
                <c:v>4</c:v>
              </c:pt>
              <c:pt idx="11">
                <c:v>8</c:v>
              </c:pt>
              <c:pt idx="12">
                <c:v>16</c:v>
              </c:pt>
              <c:pt idx="13">
                <c:v>31.5</c:v>
              </c:pt>
              <c:pt idx="14">
                <c:v>63</c:v>
              </c:pt>
            </c:numLit>
          </c:cat>
          <c:val>
            <c:numLit>
              <c:formatCode>General</c:formatCode>
              <c:ptCount val="15"/>
              <c:pt idx="0">
                <c:v>0.97</c:v>
              </c:pt>
              <c:pt idx="1">
                <c:v>6.9</c:v>
              </c:pt>
              <c:pt idx="2">
                <c:v>10</c:v>
              </c:pt>
              <c:pt idx="3">
                <c:v>10.8</c:v>
              </c:pt>
              <c:pt idx="4">
                <c:v>19.2</c:v>
              </c:pt>
              <c:pt idx="5">
                <c:v>30</c:v>
              </c:pt>
              <c:pt idx="6">
                <c:v>33.81</c:v>
              </c:pt>
              <c:pt idx="7">
                <c:v>42.48</c:v>
              </c:pt>
              <c:pt idx="8">
                <c:v>53.92</c:v>
              </c:pt>
              <c:pt idx="9">
                <c:v>60</c:v>
              </c:pt>
              <c:pt idx="10">
                <c:v>64.48</c:v>
              </c:pt>
              <c:pt idx="11">
                <c:v>72.33</c:v>
              </c:pt>
              <c:pt idx="12">
                <c:v>78.14</c:v>
              </c:pt>
              <c:pt idx="13">
                <c:v>84.6</c:v>
              </c:pt>
              <c:pt idx="14">
                <c:v>94.34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F-147A-4DDF-966C-A32B6DA1657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12700" cap="flat" cmpd="sng" algn="ctr">
              <a:gradFill flip="none" rotWithShape="1">
                <a:gsLst>
                  <a:gs pos="100000">
                    <a:schemeClr val="bg2">
                      <a:lumMod val="90000"/>
                    </a:schemeClr>
                  </a:gs>
                  <a:gs pos="8000">
                    <a:schemeClr val="bg2">
                      <a:lumMod val="25000"/>
                    </a:schemeClr>
                  </a:gs>
                </a:gsLst>
                <a:lin ang="5400000" scaled="1"/>
                <a:tileRect/>
              </a:gradFill>
              <a:round/>
            </a:ln>
            <a:effectLst/>
          </c:spPr>
        </c:dropLines>
        <c:smooth val="0"/>
        <c:axId val="614279775"/>
        <c:axId val="614281695"/>
      </c:lineChart>
      <c:catAx>
        <c:axId val="614279775"/>
        <c:scaling>
          <c:logBase val="2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chemeClr val="tx1"/>
                    </a:solidFill>
                  </a:rPr>
                  <a:t>Siebgrösse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@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4281695"/>
        <c:crosses val="autoZero"/>
        <c:auto val="0"/>
        <c:lblAlgn val="ctr"/>
        <c:lblOffset val="100"/>
        <c:noMultiLvlLbl val="0"/>
      </c:catAx>
      <c:valAx>
        <c:axId val="614281695"/>
        <c:scaling>
          <c:orientation val="minMax"/>
          <c:max val="100"/>
          <c:min val="0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chemeClr val="tx1"/>
                    </a:solidFill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@" sourceLinked="0"/>
        <c:majorTickMark val="none"/>
        <c:minorTickMark val="none"/>
        <c:tickLblPos val="nextTo"/>
        <c:crossAx val="614279775"/>
        <c:crosses val="autoZero"/>
        <c:crossBetween val="midCat"/>
        <c:majorUnit val="10"/>
        <c:minorUnit val="2"/>
      </c:valAx>
      <c:spPr>
        <a:solidFill>
          <a:schemeClr val="bg2">
            <a:lumMod val="90000"/>
          </a:schemeClr>
        </a:solidFill>
        <a:ln>
          <a:solidFill>
            <a:schemeClr val="bg2">
              <a:lumMod val="2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251234</xdr:colOff>
      <xdr:row>4</xdr:row>
      <xdr:rowOff>173691</xdr:rowOff>
    </xdr:from>
    <xdr:to>
      <xdr:col>35</xdr:col>
      <xdr:colOff>274094</xdr:colOff>
      <xdr:row>40</xdr:row>
      <xdr:rowOff>173541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782EBFB-94CF-4A4F-981B-74705EC4A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R78"/>
  <sheetViews>
    <sheetView showGridLines="0" tabSelected="1" zoomScale="89" zoomScaleNormal="85" workbookViewId="0">
      <selection activeCell="F8" sqref="F8"/>
    </sheetView>
  </sheetViews>
  <sheetFormatPr baseColWidth="10" defaultColWidth="8.796875" defaultRowHeight="14.25" x14ac:dyDescent="0.45"/>
  <cols>
    <col min="1" max="1" width="5" customWidth="1"/>
    <col min="2" max="2" width="3.1328125" customWidth="1"/>
    <col min="3" max="3" width="1.6640625" customWidth="1"/>
    <col min="4" max="4" width="15.1328125" style="5" customWidth="1"/>
    <col min="5" max="5" width="17.796875" bestFit="1" customWidth="1"/>
    <col min="6" max="6" width="18.1328125" customWidth="1"/>
    <col min="7" max="8" width="22" customWidth="1"/>
    <col min="9" max="9" width="16.796875" customWidth="1"/>
  </cols>
  <sheetData>
    <row r="1" spans="1:18" ht="18.399999999999999" thickBot="1" x14ac:dyDescent="0.6">
      <c r="A1" s="1" t="s">
        <v>8</v>
      </c>
      <c r="B1" s="2"/>
      <c r="C1" s="2"/>
      <c r="D1" s="2"/>
      <c r="E1" s="3"/>
      <c r="F1" s="3"/>
      <c r="G1" s="3"/>
      <c r="H1" s="3"/>
      <c r="I1" s="3"/>
      <c r="J1" s="4" t="s">
        <v>5</v>
      </c>
    </row>
    <row r="2" spans="1:18" ht="14.65" thickBot="1" x14ac:dyDescent="0.5"/>
    <row r="3" spans="1:18" ht="14.65" thickBot="1" x14ac:dyDescent="0.5">
      <c r="C3" s="6"/>
      <c r="D3" s="13" t="s">
        <v>27</v>
      </c>
      <c r="E3" s="13" t="s">
        <v>15</v>
      </c>
      <c r="F3" s="13" t="s">
        <v>14</v>
      </c>
      <c r="G3" s="24" t="s">
        <v>25</v>
      </c>
    </row>
    <row r="4" spans="1:18" ht="14.65" thickBot="1" x14ac:dyDescent="0.5">
      <c r="D4" s="25">
        <v>1130</v>
      </c>
      <c r="E4" s="26">
        <v>48</v>
      </c>
      <c r="F4" s="26">
        <v>38</v>
      </c>
      <c r="G4" s="27" t="s">
        <v>22</v>
      </c>
      <c r="J4" s="12"/>
      <c r="K4" s="12"/>
      <c r="L4" s="12"/>
      <c r="M4" s="12"/>
      <c r="N4" s="12"/>
      <c r="O4" s="12"/>
      <c r="P4" s="12"/>
      <c r="Q4" s="12"/>
      <c r="R4" s="12"/>
    </row>
    <row r="5" spans="1:18" ht="14.65" thickBot="1" x14ac:dyDescent="0.5"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18" ht="14.65" thickBot="1" x14ac:dyDescent="0.5">
      <c r="C6" s="6"/>
      <c r="D6" s="13" t="s">
        <v>18</v>
      </c>
      <c r="E6" s="7" t="s">
        <v>10</v>
      </c>
      <c r="F6" s="7" t="s">
        <v>11</v>
      </c>
      <c r="G6" s="7" t="s">
        <v>12</v>
      </c>
      <c r="H6" s="8" t="s">
        <v>13</v>
      </c>
      <c r="J6" s="12"/>
      <c r="K6" s="12"/>
      <c r="L6" s="12"/>
      <c r="M6" s="12"/>
      <c r="N6" s="12"/>
      <c r="O6" s="12"/>
      <c r="P6" s="12"/>
      <c r="Q6" s="12"/>
      <c r="R6" s="12"/>
    </row>
    <row r="7" spans="1:18" ht="14.55" customHeight="1" x14ac:dyDescent="0.45">
      <c r="D7" s="141" t="str">
        <f>"Steine " &amp; TEXT(MAX(100) - MIN(H7:H9), "0.00") &amp; " %"</f>
        <v>Steine 5.66 %</v>
      </c>
      <c r="E7" s="32">
        <v>125</v>
      </c>
      <c r="F7" s="106"/>
      <c r="G7" s="107" t="str">
        <f t="shared" ref="G7" si="0">IF(AND(ISNUMBER(F7),F7&lt;&gt;0), 100/$D$4*F7, "-")</f>
        <v>-</v>
      </c>
      <c r="H7" s="108" t="str">
        <f>IF(ISNUMBER(G7), 100 - G7, "-")</f>
        <v>-</v>
      </c>
      <c r="J7" s="12"/>
      <c r="K7" s="12"/>
      <c r="L7" s="12"/>
      <c r="M7" s="12"/>
      <c r="N7" s="12"/>
      <c r="O7" s="12"/>
      <c r="P7" s="12"/>
      <c r="Q7" s="12"/>
      <c r="R7" s="12"/>
    </row>
    <row r="8" spans="1:18" ht="14.55" customHeight="1" x14ac:dyDescent="0.45">
      <c r="D8" s="142"/>
      <c r="E8" s="33">
        <v>90</v>
      </c>
      <c r="F8" s="109">
        <v>0</v>
      </c>
      <c r="G8" s="110" t="str">
        <f>IF(AND(ISNUMBER(F8),F8&lt;&gt;0), 100/$D$4*F8, "-")</f>
        <v>-</v>
      </c>
      <c r="H8" s="111" t="str">
        <f>IF(ISNUMBER(G8), IF(ISNUMBER(H7), H7, IF(COUNT(H$7:H7)&gt;0, MIN(H$7:H7), 100)) - G8, "-")</f>
        <v>-</v>
      </c>
      <c r="J8" s="12"/>
      <c r="K8" s="12"/>
      <c r="L8" s="12"/>
      <c r="M8" s="12"/>
      <c r="N8" s="12"/>
      <c r="O8" s="12"/>
      <c r="P8" s="12"/>
      <c r="Q8" s="12"/>
      <c r="R8" s="12"/>
    </row>
    <row r="9" spans="1:18" ht="7.25" customHeight="1" thickBot="1" x14ac:dyDescent="0.5">
      <c r="D9" s="143"/>
      <c r="E9" s="74">
        <v>63</v>
      </c>
      <c r="F9" s="112">
        <v>64</v>
      </c>
      <c r="G9" s="113">
        <f>IF(AND(ISNUMBER(F9),F9&lt;&gt;0), 100/$D$4*F9, "-")</f>
        <v>5.663716814159292</v>
      </c>
      <c r="H9" s="114">
        <f>IF(ISNUMBER(G9), IF(ISNUMBER(H8), H8, IF(COUNT(H$7:H8)&gt;0, MIN(H$7:H8), 100)) - G9, "-")</f>
        <v>94.336283185840713</v>
      </c>
      <c r="J9" s="12"/>
      <c r="K9" s="12"/>
      <c r="L9" s="12"/>
      <c r="M9" s="12"/>
      <c r="N9" s="12"/>
      <c r="O9" s="12"/>
      <c r="P9" s="12"/>
      <c r="Q9" s="12"/>
      <c r="R9" s="12"/>
    </row>
    <row r="10" spans="1:18" ht="7.25" customHeight="1" x14ac:dyDescent="0.45">
      <c r="B10" s="145" t="str">
        <f>"Grobkörnig = " &amp; TEXT(MAX(H9:H26) - MIN(H9:H26), "0.00") &amp; " %"</f>
        <v>Grobkörnig = 87.43 %</v>
      </c>
      <c r="C10" s="146"/>
      <c r="D10" s="144" t="str">
        <f>"Kies " &amp; TEXT(MAX(H9:H20) - MIN(H9:H20), "0.00") &amp; " %"</f>
        <v>Kies 40.42 %</v>
      </c>
      <c r="E10" s="74"/>
      <c r="F10" s="115"/>
      <c r="G10" s="116"/>
      <c r="H10" s="117"/>
      <c r="J10" s="12"/>
      <c r="K10" s="12"/>
      <c r="L10" s="12"/>
      <c r="M10" s="12"/>
      <c r="N10" s="12"/>
      <c r="O10" s="12"/>
      <c r="P10" s="12"/>
      <c r="Q10" s="12"/>
      <c r="R10" s="12"/>
    </row>
    <row r="11" spans="1:18" ht="14.55" customHeight="1" x14ac:dyDescent="0.45">
      <c r="B11" s="147"/>
      <c r="C11" s="148"/>
      <c r="D11" s="142"/>
      <c r="E11" s="33">
        <v>45</v>
      </c>
      <c r="F11" s="118"/>
      <c r="G11" s="110" t="str">
        <f t="shared" ref="G11:G19" si="1">IF(AND(ISNUMBER(F11),F11&lt;&gt;0), 100/$D$4*F11, "-")</f>
        <v>-</v>
      </c>
      <c r="H11" s="111" t="str">
        <f>IF(ISNUMBER(G11), IF(ISNUMBER(H9), H9, MIN(H$7:H10)) - G11, "-")</f>
        <v>-</v>
      </c>
      <c r="J11" s="12"/>
      <c r="K11" s="12"/>
      <c r="L11" s="12"/>
      <c r="M11" s="12"/>
      <c r="N11" s="12"/>
      <c r="O11" s="12"/>
      <c r="P11" s="12"/>
      <c r="Q11" s="12"/>
      <c r="R11" s="12"/>
    </row>
    <row r="12" spans="1:18" ht="14.55" customHeight="1" x14ac:dyDescent="0.45">
      <c r="B12" s="147"/>
      <c r="C12" s="148"/>
      <c r="D12" s="142"/>
      <c r="E12" s="34">
        <v>31.5</v>
      </c>
      <c r="F12" s="119">
        <v>110</v>
      </c>
      <c r="G12" s="120">
        <f t="shared" si="1"/>
        <v>9.7345132743362832</v>
      </c>
      <c r="H12" s="121">
        <f>IF(ISNUMBER(G12), IF(ISNUMBER(H11), H11, IF(COUNT(H$7:H11)&gt;0, MIN(H$7:H11), 100)) - G12, "-")</f>
        <v>84.601769911504434</v>
      </c>
      <c r="J12" s="12"/>
      <c r="K12" s="12"/>
      <c r="L12" s="12"/>
      <c r="M12" s="12"/>
      <c r="N12" s="12"/>
      <c r="O12" s="12"/>
      <c r="P12" s="12"/>
      <c r="Q12" s="12"/>
      <c r="R12" s="12"/>
    </row>
    <row r="13" spans="1:18" ht="14.55" customHeight="1" thickBot="1" x14ac:dyDescent="0.5">
      <c r="B13" s="147"/>
      <c r="C13" s="148"/>
      <c r="D13" s="142"/>
      <c r="E13" s="33">
        <v>22.4</v>
      </c>
      <c r="F13" s="118"/>
      <c r="G13" s="110" t="str">
        <f>IF(AND(ISNUMBER(F13),F13&lt;&gt;0), 100/$D$4*F13, "-")</f>
        <v>-</v>
      </c>
      <c r="H13" s="111" t="str">
        <f>IF(ISNUMBER(G13), IF(ISNUMBER(H12), H12, IF(COUNT(H$7:H12)&gt;0, MIN(H$7:H12), 100)) - G13, "-")</f>
        <v>-</v>
      </c>
      <c r="J13" s="12"/>
      <c r="K13" s="12"/>
      <c r="L13" s="12"/>
      <c r="M13" s="12"/>
      <c r="N13" s="12"/>
      <c r="O13" s="12"/>
      <c r="P13" s="12"/>
      <c r="Q13" s="12"/>
      <c r="R13" s="12"/>
    </row>
    <row r="14" spans="1:18" ht="14.55" customHeight="1" x14ac:dyDescent="0.45">
      <c r="B14" s="147"/>
      <c r="C14" s="148"/>
      <c r="D14" s="142"/>
      <c r="E14" s="34">
        <v>16</v>
      </c>
      <c r="F14" s="119">
        <v>73</v>
      </c>
      <c r="G14" s="120">
        <f>IF(AND(ISNUMBER(F14),F14&lt;&gt;0), 100/$D$4*F14, "-")</f>
        <v>6.4601769911504423</v>
      </c>
      <c r="H14" s="121">
        <f>IF(ISNUMBER(G14), IF(ISNUMBER(H13), H13, IF(COUNT(H$7:H13)&gt;0, MIN(H$7:H13), 100)) - G14, "-")</f>
        <v>78.141592920353986</v>
      </c>
      <c r="I14" s="151" t="s">
        <v>41</v>
      </c>
      <c r="J14" s="12"/>
      <c r="K14" s="12"/>
      <c r="L14" s="12"/>
      <c r="M14" s="12"/>
      <c r="N14" s="12"/>
      <c r="O14" s="12"/>
      <c r="P14" s="12"/>
      <c r="Q14" s="12"/>
      <c r="R14" s="12"/>
    </row>
    <row r="15" spans="1:18" ht="14.55" customHeight="1" x14ac:dyDescent="0.45">
      <c r="B15" s="147"/>
      <c r="C15" s="148"/>
      <c r="D15" s="142"/>
      <c r="E15" s="33">
        <v>11.2</v>
      </c>
      <c r="F15" s="118"/>
      <c r="G15" s="110" t="str">
        <f t="shared" si="1"/>
        <v>-</v>
      </c>
      <c r="H15" s="111" t="str">
        <f>IF(ISNUMBER(G15), IF(ISNUMBER(H14), H14, IF(COUNT(H$7:H14)&gt;0, MIN(H$7:H14), 100)) - G15, "-")</f>
        <v>-</v>
      </c>
      <c r="I15" s="152"/>
      <c r="J15" s="12"/>
      <c r="K15" s="12"/>
      <c r="L15" s="12"/>
      <c r="M15" s="12"/>
      <c r="N15" s="12"/>
      <c r="O15" s="12"/>
      <c r="P15" s="12"/>
      <c r="Q15" s="12"/>
      <c r="R15" s="12"/>
    </row>
    <row r="16" spans="1:18" ht="14.55" customHeight="1" x14ac:dyDescent="0.45">
      <c r="B16" s="147"/>
      <c r="C16" s="148"/>
      <c r="D16" s="142"/>
      <c r="E16" s="34">
        <v>8</v>
      </c>
      <c r="F16" s="119">
        <v>65.7</v>
      </c>
      <c r="G16" s="120">
        <f t="shared" si="1"/>
        <v>5.8141592920353986</v>
      </c>
      <c r="H16" s="121">
        <f>IF(ISNUMBER(G16), IF(ISNUMBER(H15), H15, IF(COUNT(H$7:H15)&gt;0, MIN(H$7:H15), 100)) - G16, "-")</f>
        <v>72.327433628318587</v>
      </c>
      <c r="I16" s="152"/>
      <c r="J16" s="12"/>
      <c r="K16" s="12"/>
      <c r="L16" s="12"/>
      <c r="M16" s="12"/>
      <c r="N16" s="12"/>
      <c r="O16" s="12"/>
      <c r="P16" s="12"/>
      <c r="Q16" s="12"/>
      <c r="R16" s="12"/>
    </row>
    <row r="17" spans="2:18" ht="14.55" customHeight="1" x14ac:dyDescent="0.45">
      <c r="B17" s="147"/>
      <c r="C17" s="148"/>
      <c r="D17" s="142"/>
      <c r="E17" s="33">
        <v>5.6</v>
      </c>
      <c r="F17" s="118"/>
      <c r="G17" s="110" t="str">
        <f t="shared" si="1"/>
        <v>-</v>
      </c>
      <c r="H17" s="111" t="str">
        <f>IF(ISNUMBER(G17), IF(ISNUMBER(H16), H16, IF(COUNT(H$7:H16)&gt;0, MIN(H$7:H16), 100)) - G17, "-")</f>
        <v>-</v>
      </c>
      <c r="I17" s="152"/>
      <c r="J17" s="12"/>
      <c r="K17" s="12"/>
      <c r="L17" s="12"/>
      <c r="M17" s="12"/>
      <c r="N17" s="12"/>
      <c r="O17" s="12"/>
      <c r="P17" s="12"/>
      <c r="Q17" s="12"/>
      <c r="R17" s="12"/>
    </row>
    <row r="18" spans="2:18" ht="14.55" customHeight="1" x14ac:dyDescent="0.45">
      <c r="B18" s="147"/>
      <c r="C18" s="148"/>
      <c r="D18" s="142"/>
      <c r="E18" s="34">
        <v>4</v>
      </c>
      <c r="F18" s="119">
        <v>88.7</v>
      </c>
      <c r="G18" s="120">
        <f t="shared" si="1"/>
        <v>7.8495575221238942</v>
      </c>
      <c r="H18" s="121">
        <f>IF(ISNUMBER(G18), IF(ISNUMBER(H17), H17, IF(COUNT(H$7:H17)&gt;0, MIN(H$7:H17), 100)) - G18, "-")</f>
        <v>64.477876106194699</v>
      </c>
      <c r="I18" s="152"/>
      <c r="J18" s="12"/>
      <c r="K18" s="12"/>
      <c r="L18" s="12"/>
      <c r="M18" s="12"/>
      <c r="N18" s="12"/>
      <c r="O18" s="12"/>
      <c r="P18" s="12"/>
      <c r="Q18" s="12"/>
      <c r="R18" s="12"/>
    </row>
    <row r="19" spans="2:18" ht="7.25" customHeight="1" thickBot="1" x14ac:dyDescent="0.5">
      <c r="B19" s="147"/>
      <c r="C19" s="148"/>
      <c r="D19" s="143"/>
      <c r="E19" s="75">
        <v>2</v>
      </c>
      <c r="F19" s="122">
        <v>119.3</v>
      </c>
      <c r="G19" s="123">
        <f t="shared" si="1"/>
        <v>10.557522123893804</v>
      </c>
      <c r="H19" s="124">
        <f>IF(ISNUMBER(G19), IF(ISNUMBER(H18), H18, IF(COUNT(H$7:H18)&gt;0, MIN(H$7:H18), 100)) - G19, "-")</f>
        <v>53.920353982300895</v>
      </c>
      <c r="I19" s="152"/>
      <c r="J19" s="12"/>
      <c r="K19" s="12"/>
      <c r="L19" s="12"/>
      <c r="M19" s="12"/>
      <c r="N19" s="12"/>
      <c r="O19" s="12"/>
      <c r="P19" s="12"/>
      <c r="Q19" s="12"/>
      <c r="R19" s="12"/>
    </row>
    <row r="20" spans="2:18" ht="7.25" customHeight="1" x14ac:dyDescent="0.45">
      <c r="B20" s="147"/>
      <c r="C20" s="148"/>
      <c r="D20" s="144" t="str">
        <f>"Sand " &amp; TEXT(MAX(H19:H27) - MIN(H19:H27), "0.00") &amp; " %"</f>
        <v>Sand 47.02 %</v>
      </c>
      <c r="E20" s="75"/>
      <c r="F20" s="125"/>
      <c r="G20" s="126"/>
      <c r="H20" s="127"/>
      <c r="I20" s="152"/>
      <c r="J20" s="12"/>
      <c r="K20" s="12"/>
      <c r="L20" s="12"/>
      <c r="M20" s="12"/>
      <c r="N20" s="12"/>
      <c r="O20" s="12"/>
      <c r="P20" s="12"/>
      <c r="Q20" s="12"/>
      <c r="R20" s="12"/>
    </row>
    <row r="21" spans="2:18" ht="14.55" customHeight="1" x14ac:dyDescent="0.45">
      <c r="B21" s="147"/>
      <c r="C21" s="148"/>
      <c r="D21" s="142"/>
      <c r="E21" s="34">
        <v>1</v>
      </c>
      <c r="F21" s="119">
        <v>129.30000000000001</v>
      </c>
      <c r="G21" s="120">
        <f t="shared" ref="G21:G26" si="2">IF(AND(ISNUMBER(F21),F21&lt;&gt;0), 100/$D$4*F21, "-")</f>
        <v>11.442477876106196</v>
      </c>
      <c r="H21" s="121">
        <f>IF(ISNUMBER(G21), IF(ISNUMBER(H20), H20, IF(COUNT(H$7:H20)&gt;0, MIN(H$7:H20), 100)) - G21, "-")</f>
        <v>42.477876106194699</v>
      </c>
      <c r="I21" s="152"/>
      <c r="J21" s="12"/>
      <c r="K21" s="12"/>
      <c r="L21" s="12"/>
      <c r="M21" s="12"/>
      <c r="N21" s="12"/>
      <c r="O21" s="12"/>
      <c r="P21" s="12"/>
      <c r="Q21" s="12"/>
      <c r="R21" s="12"/>
    </row>
    <row r="22" spans="2:18" ht="14.55" customHeight="1" x14ac:dyDescent="0.45">
      <c r="B22" s="147"/>
      <c r="C22" s="148"/>
      <c r="D22" s="142"/>
      <c r="E22" s="33">
        <v>0.5</v>
      </c>
      <c r="F22" s="118">
        <v>98</v>
      </c>
      <c r="G22" s="110">
        <f t="shared" si="2"/>
        <v>8.6725663716814161</v>
      </c>
      <c r="H22" s="111">
        <f>IF(ISNUMBER(G22), IF(ISNUMBER(H21), H21, IF(COUNT(H$7:H21)&gt;0, MIN(H$7:H21), 100)) - G22, "-")</f>
        <v>33.805309734513287</v>
      </c>
      <c r="I22" s="152"/>
      <c r="J22" s="12"/>
      <c r="K22" s="12"/>
      <c r="L22" s="12"/>
      <c r="M22" s="12"/>
      <c r="N22" s="12"/>
      <c r="O22" s="12"/>
      <c r="P22" s="12"/>
      <c r="Q22" s="12"/>
      <c r="R22" s="12"/>
    </row>
    <row r="23" spans="2:18" ht="14.55" customHeight="1" x14ac:dyDescent="0.45">
      <c r="B23" s="147"/>
      <c r="C23" s="148"/>
      <c r="D23" s="142"/>
      <c r="E23" s="34">
        <v>0.25</v>
      </c>
      <c r="F23" s="119">
        <v>165</v>
      </c>
      <c r="G23" s="120">
        <f t="shared" si="2"/>
        <v>14.601769911504425</v>
      </c>
      <c r="H23" s="121">
        <f>IF(ISNUMBER(G23), IF(ISNUMBER(H22), H22, IF(COUNT(H$7:H22)&gt;0, MIN(H$7:H22), 100)) - G23, "-")</f>
        <v>19.20353982300886</v>
      </c>
      <c r="I23" s="152"/>
      <c r="J23" s="12"/>
      <c r="K23" s="12"/>
      <c r="L23" s="12"/>
      <c r="M23" s="12"/>
      <c r="N23" s="12"/>
      <c r="O23" s="12"/>
      <c r="P23" s="12"/>
      <c r="Q23" s="12"/>
      <c r="R23" s="12"/>
    </row>
    <row r="24" spans="2:18" ht="14.55" customHeight="1" x14ac:dyDescent="0.45">
      <c r="B24" s="147"/>
      <c r="C24" s="148"/>
      <c r="D24" s="142"/>
      <c r="E24" s="34">
        <v>0.2</v>
      </c>
      <c r="F24" s="118"/>
      <c r="G24" s="110" t="str">
        <f t="shared" si="2"/>
        <v>-</v>
      </c>
      <c r="H24" s="111" t="str">
        <f>IF(ISNUMBER(G24), IF(ISNUMBER(H23), H23, IF(COUNT(H$7:H23)&gt;0, MIN(H$7:H23), 100)) - G24, "-")</f>
        <v>-</v>
      </c>
      <c r="I24" s="152"/>
      <c r="J24" s="12"/>
      <c r="K24" s="12"/>
      <c r="L24" s="12"/>
      <c r="M24" s="12"/>
      <c r="N24" s="12"/>
      <c r="O24" s="12"/>
      <c r="P24" s="12"/>
      <c r="Q24" s="12"/>
      <c r="R24" s="12"/>
    </row>
    <row r="25" spans="2:18" ht="14.55" customHeight="1" thickBot="1" x14ac:dyDescent="0.5">
      <c r="B25" s="147"/>
      <c r="C25" s="148"/>
      <c r="D25" s="142"/>
      <c r="E25" s="33">
        <v>0.125</v>
      </c>
      <c r="F25" s="119">
        <v>95</v>
      </c>
      <c r="G25" s="120">
        <f t="shared" si="2"/>
        <v>8.4070796460176993</v>
      </c>
      <c r="H25" s="121">
        <f>IF(ISNUMBER(G25), IF(ISNUMBER(H24), H24, IF(COUNT(H$7:H24)&gt;0, MIN(H$7:H24), 100)) - G25, "-")</f>
        <v>10.796460176991161</v>
      </c>
      <c r="I25" s="153"/>
      <c r="J25" s="12"/>
      <c r="K25" s="12"/>
      <c r="L25" s="12"/>
      <c r="M25" s="12"/>
      <c r="N25" s="12"/>
      <c r="O25" s="12"/>
      <c r="P25" s="12"/>
      <c r="Q25" s="12"/>
      <c r="R25" s="12"/>
    </row>
    <row r="26" spans="2:18" ht="7.25" customHeight="1" thickBot="1" x14ac:dyDescent="0.5">
      <c r="B26" s="149"/>
      <c r="C26" s="150"/>
      <c r="D26" s="143"/>
      <c r="E26" s="74">
        <v>6.3E-2</v>
      </c>
      <c r="F26" s="128">
        <v>44</v>
      </c>
      <c r="G26" s="123">
        <f t="shared" si="2"/>
        <v>3.8938053097345131</v>
      </c>
      <c r="H26" s="124">
        <f>IF(ISNUMBER(I26), I26, IF(ISNUMBER(G26), IF(ISNUMBER(H25), H25, IF(COUNT(H$7:H25)&gt;0, MIN(H$7:H25), 100)) - G26, "-"))</f>
        <v>6.9026548672566479</v>
      </c>
      <c r="I26" s="134"/>
      <c r="J26" s="12"/>
      <c r="K26" s="12"/>
      <c r="L26" s="12"/>
      <c r="M26" s="12"/>
      <c r="N26" s="12"/>
      <c r="O26" s="12"/>
      <c r="P26" s="12"/>
      <c r="Q26" s="12"/>
      <c r="R26" s="12"/>
    </row>
    <row r="27" spans="2:18" ht="7.25" customHeight="1" x14ac:dyDescent="0.45">
      <c r="B27" s="145" t="str">
        <f>"Feinkörnig = " &amp; TEXT(MAX(H26:H41) - MIN(H26:H41), "0.00") &amp; " %"</f>
        <v>Feinkörnig = 5.93 %</v>
      </c>
      <c r="C27" s="146"/>
      <c r="D27" s="144" t="str">
        <f>"Silt " &amp; TEXT(MAX(H26:H39) - MIN(H26:H39), "0.00") &amp; " %"</f>
        <v>Silt 5.93 %</v>
      </c>
      <c r="E27" s="74"/>
      <c r="F27" s="129"/>
      <c r="G27" s="126"/>
      <c r="H27" s="127"/>
      <c r="I27" s="135"/>
      <c r="J27" s="12"/>
      <c r="K27" s="12"/>
      <c r="L27" s="12"/>
      <c r="M27" s="12"/>
      <c r="N27" s="12"/>
      <c r="O27" s="12"/>
      <c r="P27" s="12"/>
      <c r="Q27" s="12"/>
      <c r="R27" s="12"/>
    </row>
    <row r="28" spans="2:18" ht="14.45" customHeight="1" x14ac:dyDescent="0.45">
      <c r="B28" s="147"/>
      <c r="C28" s="148"/>
      <c r="D28" s="142"/>
      <c r="E28" s="34">
        <v>0.06</v>
      </c>
      <c r="F28" s="130">
        <v>67</v>
      </c>
      <c r="G28" s="120">
        <f t="shared" ref="G28:G39" si="3">IF(AND(ISNUMBER(F28),F28&lt;&gt;0), 100/$D$4*F28, "-")</f>
        <v>5.9292035398230087</v>
      </c>
      <c r="H28" s="121">
        <f>IF(ISNUMBER(I28), I28, IF(ISNUMBER(G28), IF(ISNUMBER(H26), H26, IF(COUNT(H$7:H26)&gt;0, MIN(H$7:H26), 100)) - G28, "-"))</f>
        <v>0.97345132743363916</v>
      </c>
      <c r="I28" s="136"/>
      <c r="J28" s="12"/>
      <c r="K28" s="12"/>
      <c r="L28" s="12"/>
      <c r="M28" s="12"/>
      <c r="N28" s="12"/>
      <c r="O28" s="12"/>
      <c r="P28" s="12"/>
      <c r="Q28" s="12"/>
      <c r="R28" s="12"/>
    </row>
    <row r="29" spans="2:18" ht="14.55" customHeight="1" x14ac:dyDescent="0.45">
      <c r="B29" s="147"/>
      <c r="C29" s="148"/>
      <c r="D29" s="142"/>
      <c r="E29" s="33">
        <v>0.05</v>
      </c>
      <c r="F29" s="118"/>
      <c r="G29" s="110" t="str">
        <f t="shared" si="3"/>
        <v>-</v>
      </c>
      <c r="H29" s="111" t="str">
        <f>IF(ISNUMBER(I29), I29, IF(ISNUMBER(G29), IF(ISNUMBER(H27), H27, IF(COUNT(H$7:H27)&gt;0, MIN(H$7:H27), 100)) - G29, "-"))</f>
        <v>-</v>
      </c>
      <c r="I29" s="137"/>
      <c r="J29" s="12"/>
      <c r="K29" s="12"/>
      <c r="L29" s="12"/>
      <c r="M29" s="12"/>
      <c r="N29" s="12"/>
      <c r="O29" s="12"/>
      <c r="P29" s="12"/>
      <c r="Q29" s="12"/>
      <c r="R29" s="12"/>
    </row>
    <row r="30" spans="2:18" ht="14.55" customHeight="1" x14ac:dyDescent="0.45">
      <c r="B30" s="147"/>
      <c r="C30" s="148"/>
      <c r="D30" s="142"/>
      <c r="E30" s="34">
        <v>0.04</v>
      </c>
      <c r="F30" s="119"/>
      <c r="G30" s="120" t="str">
        <f t="shared" si="3"/>
        <v>-</v>
      </c>
      <c r="H30" s="121" t="str">
        <f>IF(ISNUMBER(I30), I30, IF(ISNUMBER(G30), IF(ISNUMBER(H29), H29, IF(COUNT(H$7:H29)&gt;0, MIN(H$7:H29), 100)) - G30, "-"))</f>
        <v>-</v>
      </c>
      <c r="I30" s="136"/>
      <c r="J30" s="12"/>
      <c r="K30" s="12"/>
      <c r="L30" s="12"/>
      <c r="M30" s="12"/>
      <c r="N30" s="12"/>
      <c r="O30" s="12"/>
      <c r="P30" s="12"/>
      <c r="Q30" s="12"/>
      <c r="R30" s="12"/>
    </row>
    <row r="31" spans="2:18" ht="14.55" customHeight="1" x14ac:dyDescent="0.45">
      <c r="B31" s="147"/>
      <c r="C31" s="148"/>
      <c r="D31" s="142"/>
      <c r="E31" s="33">
        <v>0.03</v>
      </c>
      <c r="F31" s="118"/>
      <c r="G31" s="110" t="str">
        <f t="shared" si="3"/>
        <v>-</v>
      </c>
      <c r="H31" s="111" t="str">
        <f>IF(ISNUMBER(I31), I31, IF(ISNUMBER(G31), IF(ISNUMBER(H30), H30, IF(COUNT(H$7:H30)&gt;0, MIN(H$7:H30), 100)) - G31, "-"))</f>
        <v>-</v>
      </c>
      <c r="I31" s="137"/>
      <c r="J31" s="12"/>
      <c r="K31" s="12"/>
      <c r="L31" s="12"/>
      <c r="M31" s="12"/>
      <c r="N31" s="12"/>
      <c r="O31" s="12"/>
      <c r="P31" s="12"/>
      <c r="Q31" s="12"/>
      <c r="R31" s="12"/>
    </row>
    <row r="32" spans="2:18" ht="14.55" customHeight="1" x14ac:dyDescent="0.45">
      <c r="B32" s="147"/>
      <c r="C32" s="148"/>
      <c r="D32" s="142"/>
      <c r="E32" s="34">
        <v>0.02</v>
      </c>
      <c r="F32" s="119"/>
      <c r="G32" s="120" t="str">
        <f t="shared" si="3"/>
        <v>-</v>
      </c>
      <c r="H32" s="121" t="str">
        <f>IF(ISNUMBER(I32), I32, IF(ISNUMBER(G32), IF(ISNUMBER(H31), H31, IF(COUNT(H$7:H31)&gt;0, MIN(H$7:H31), 100)) - G32, "-"))</f>
        <v>-</v>
      </c>
      <c r="I32" s="136"/>
      <c r="J32" s="12"/>
      <c r="K32" s="12"/>
      <c r="L32" s="12"/>
      <c r="M32" s="12"/>
      <c r="N32" s="12"/>
      <c r="O32" s="12"/>
      <c r="P32" s="12"/>
      <c r="Q32" s="12"/>
      <c r="R32" s="12"/>
    </row>
    <row r="33" spans="2:18" ht="14.55" customHeight="1" x14ac:dyDescent="0.45">
      <c r="B33" s="147"/>
      <c r="C33" s="148"/>
      <c r="D33" s="142"/>
      <c r="E33" s="33">
        <v>1.4999999999999999E-2</v>
      </c>
      <c r="F33" s="118"/>
      <c r="G33" s="110" t="str">
        <f t="shared" si="3"/>
        <v>-</v>
      </c>
      <c r="H33" s="111" t="str">
        <f>IF(ISNUMBER(I33), I33, IF(ISNUMBER(G33), IF(ISNUMBER(H32), H32, IF(COUNT(H$7:H32)&gt;0, MIN(H$7:H32), 100)) - G33, "-"))</f>
        <v>-</v>
      </c>
      <c r="I33" s="137"/>
      <c r="J33" s="12"/>
      <c r="K33" s="12"/>
      <c r="L33" s="12"/>
      <c r="M33" s="12"/>
      <c r="N33" s="12"/>
      <c r="O33" s="12"/>
      <c r="P33" s="12"/>
      <c r="Q33" s="12"/>
      <c r="R33" s="12"/>
    </row>
    <row r="34" spans="2:18" ht="14.55" customHeight="1" x14ac:dyDescent="0.45">
      <c r="B34" s="147"/>
      <c r="C34" s="148"/>
      <c r="D34" s="142"/>
      <c r="E34" s="34">
        <v>0.01</v>
      </c>
      <c r="F34" s="119"/>
      <c r="G34" s="120" t="str">
        <f t="shared" si="3"/>
        <v>-</v>
      </c>
      <c r="H34" s="121" t="str">
        <f>IF(ISNUMBER(I34), I34, IF(ISNUMBER(G34), IF(ISNUMBER(H33), H33, IF(COUNT(H$7:H33)&gt;0, MIN(H$7:H33), 100)) - G34, "-"))</f>
        <v>-</v>
      </c>
      <c r="I34" s="136"/>
      <c r="J34" s="12"/>
      <c r="K34" s="12"/>
      <c r="L34" s="12"/>
      <c r="M34" s="12"/>
      <c r="N34" s="12"/>
      <c r="O34" s="12"/>
      <c r="P34" s="12"/>
      <c r="Q34" s="12"/>
      <c r="R34" s="12"/>
    </row>
    <row r="35" spans="2:18" ht="14.55" customHeight="1" x14ac:dyDescent="0.45">
      <c r="B35" s="147"/>
      <c r="C35" s="148"/>
      <c r="D35" s="142"/>
      <c r="E35" s="33">
        <v>8.0000000000000002E-3</v>
      </c>
      <c r="F35" s="118"/>
      <c r="G35" s="110" t="str">
        <f t="shared" si="3"/>
        <v>-</v>
      </c>
      <c r="H35" s="111" t="str">
        <f>IF(ISNUMBER(I35), I35, IF(ISNUMBER(G35), IF(ISNUMBER(H34), H34, IF(COUNT(H$7:H34)&gt;0, MIN(H$7:H34), 100)) - G35, "-"))</f>
        <v>-</v>
      </c>
      <c r="I35" s="137"/>
      <c r="J35" s="12"/>
      <c r="K35" s="12"/>
      <c r="L35" s="12"/>
      <c r="M35" s="12"/>
      <c r="N35" s="12"/>
      <c r="O35" s="12"/>
      <c r="P35" s="12"/>
      <c r="Q35" s="12"/>
      <c r="R35" s="12"/>
    </row>
    <row r="36" spans="2:18" ht="14.55" customHeight="1" x14ac:dyDescent="0.45">
      <c r="B36" s="147"/>
      <c r="C36" s="148"/>
      <c r="D36" s="142"/>
      <c r="E36" s="34">
        <v>6.0000000000000001E-3</v>
      </c>
      <c r="F36" s="119"/>
      <c r="G36" s="120" t="str">
        <f t="shared" si="3"/>
        <v>-</v>
      </c>
      <c r="H36" s="121" t="str">
        <f>IF(ISNUMBER(I36), I36, IF(ISNUMBER(G36), IF(ISNUMBER(H35), H35, IF(COUNT(H$7:H35)&gt;0, MIN(H$7:H35), 100)) - G36, "-"))</f>
        <v>-</v>
      </c>
      <c r="I36" s="136"/>
      <c r="J36" s="12"/>
      <c r="K36" s="12"/>
      <c r="L36" s="12"/>
      <c r="M36" s="12"/>
      <c r="N36" s="12"/>
      <c r="O36" s="12"/>
      <c r="P36" s="12"/>
      <c r="Q36" s="12"/>
      <c r="R36" s="12"/>
    </row>
    <row r="37" spans="2:18" ht="14.55" customHeight="1" x14ac:dyDescent="0.45">
      <c r="B37" s="147"/>
      <c r="C37" s="148"/>
      <c r="D37" s="142"/>
      <c r="E37" s="33">
        <v>4.0000000000000001E-3</v>
      </c>
      <c r="F37" s="118"/>
      <c r="G37" s="110" t="str">
        <f t="shared" si="3"/>
        <v>-</v>
      </c>
      <c r="H37" s="111" t="str">
        <f>IF(ISNUMBER(I37), I37, IF(ISNUMBER(G37), IF(ISNUMBER(H36), H36, IF(COUNT(H$7:H36)&gt;0, MIN(H$7:H36), 100)) - G37, "-"))</f>
        <v>-</v>
      </c>
      <c r="I37" s="137"/>
      <c r="J37" s="12"/>
      <c r="K37" s="12"/>
      <c r="L37" s="12"/>
      <c r="M37" s="12"/>
      <c r="N37" s="12"/>
      <c r="O37" s="12"/>
      <c r="P37" s="12"/>
      <c r="Q37" s="12"/>
      <c r="R37" s="12"/>
    </row>
    <row r="38" spans="2:18" ht="14.55" customHeight="1" x14ac:dyDescent="0.45">
      <c r="B38" s="147"/>
      <c r="C38" s="148"/>
      <c r="D38" s="142"/>
      <c r="E38" s="34">
        <v>3.0000000000000001E-3</v>
      </c>
      <c r="F38" s="119"/>
      <c r="G38" s="120" t="str">
        <f t="shared" si="3"/>
        <v>-</v>
      </c>
      <c r="H38" s="121" t="str">
        <f>IF(ISNUMBER(I38), I38, IF(ISNUMBER(G38), IF(ISNUMBER(H37), H37, IF(COUNT(H$7:H37)&gt;0, MIN(H$7:H37), 100)) - G38, "-"))</f>
        <v>-</v>
      </c>
      <c r="I38" s="136"/>
      <c r="J38" s="12"/>
      <c r="K38" s="12"/>
      <c r="L38" s="12"/>
      <c r="M38" s="12"/>
      <c r="N38" s="12"/>
      <c r="O38" s="12"/>
      <c r="P38" s="12"/>
      <c r="Q38" s="12"/>
      <c r="R38" s="12"/>
    </row>
    <row r="39" spans="2:18" ht="7.25" customHeight="1" thickBot="1" x14ac:dyDescent="0.5">
      <c r="B39" s="147"/>
      <c r="C39" s="148"/>
      <c r="D39" s="143"/>
      <c r="E39" s="75">
        <v>2E-3</v>
      </c>
      <c r="F39" s="122"/>
      <c r="G39" s="123" t="str">
        <f t="shared" si="3"/>
        <v>-</v>
      </c>
      <c r="H39" s="124" t="str">
        <f>IF(ISNUMBER(I39), I39, IF(ISNUMBER(G39), IF(ISNUMBER(H38), H38, IF(COUNT(H$7:H38)&gt;0, MIN(H$7:H38), 100)) - G39, "-"))</f>
        <v>-</v>
      </c>
      <c r="I39" s="138"/>
      <c r="J39" s="12"/>
      <c r="K39" s="12"/>
      <c r="L39" s="12"/>
      <c r="M39" s="12"/>
      <c r="N39" s="12"/>
      <c r="O39" s="12"/>
      <c r="P39" s="12"/>
      <c r="Q39" s="12"/>
      <c r="R39" s="12"/>
    </row>
    <row r="40" spans="2:18" ht="7.25" customHeight="1" x14ac:dyDescent="0.45">
      <c r="B40" s="147"/>
      <c r="C40" s="148"/>
      <c r="D40" s="144" t="str">
        <f>"Ton " &amp; TEXT(MAX(H39:H41) - MIN(H39:H41), "0.00") &amp; " %"</f>
        <v>Ton 0.00 %</v>
      </c>
      <c r="E40" s="75"/>
      <c r="F40" s="125"/>
      <c r="G40" s="126"/>
      <c r="H40" s="127"/>
      <c r="I40" s="135"/>
    </row>
    <row r="41" spans="2:18" ht="14.55" customHeight="1" thickBot="1" x14ac:dyDescent="0.5">
      <c r="B41" s="149"/>
      <c r="C41" s="150"/>
      <c r="D41" s="143"/>
      <c r="E41" s="34">
        <v>1E-3</v>
      </c>
      <c r="F41" s="131"/>
      <c r="G41" s="132" t="str">
        <f>IF(AND(ISNUMBER(F41),F41&lt;&gt;0), 100/$D$4*F41, "-")</f>
        <v>-</v>
      </c>
      <c r="H41" s="133" t="str">
        <f>IF(ISNUMBER(I41), I41, IF(ISNUMBER(G41), IF(ISNUMBER(H40), H40, IF(COUNT(H$7:H40)&gt;0, MIN(H$7:H40), 100)) - G41, "-"))</f>
        <v>-</v>
      </c>
      <c r="I41" s="139"/>
    </row>
    <row r="42" spans="2:18" x14ac:dyDescent="0.45">
      <c r="E42" s="20" t="s">
        <v>3</v>
      </c>
      <c r="F42" s="46">
        <f>SUM(F7:F41)</f>
        <v>1119</v>
      </c>
      <c r="G42" s="47">
        <f>(100 - MIN(H7:H9)) + (MAX(H9:H19) - MIN(H9:H19)) + (MAX(H19:H26) - MIN(H19:H26)) + (MAX(H26:H39) - MIN(H26:H39)) + (MAX(H39:H41) - MIN(H39:H41))</f>
        <v>99.026548672566364</v>
      </c>
    </row>
    <row r="43" spans="2:18" ht="14.65" thickBot="1" x14ac:dyDescent="0.5">
      <c r="E43" s="21" t="s">
        <v>4</v>
      </c>
      <c r="F43" s="22">
        <f>D4-F42</f>
        <v>11</v>
      </c>
      <c r="G43" s="48">
        <f>ABS(100-G42)</f>
        <v>0.97345132743363649</v>
      </c>
      <c r="H43" s="140" t="s">
        <v>37</v>
      </c>
    </row>
    <row r="45" spans="2:18" ht="14.65" thickBot="1" x14ac:dyDescent="0.5"/>
    <row r="46" spans="2:18" ht="14.65" thickBot="1" x14ac:dyDescent="0.5">
      <c r="C46" s="6"/>
      <c r="D46" s="7" t="s">
        <v>17</v>
      </c>
      <c r="E46" s="7" t="s">
        <v>6</v>
      </c>
      <c r="F46" s="7" t="s">
        <v>7</v>
      </c>
      <c r="G46" s="49" t="s">
        <v>26</v>
      </c>
      <c r="H46" s="49"/>
      <c r="I46" s="49"/>
      <c r="J46" s="49"/>
      <c r="K46" s="49"/>
      <c r="L46" s="50"/>
    </row>
    <row r="47" spans="2:18" x14ac:dyDescent="0.45">
      <c r="D47" s="14" t="s">
        <v>0</v>
      </c>
      <c r="E47" s="35">
        <v>0.112</v>
      </c>
      <c r="F47" s="36">
        <v>10</v>
      </c>
      <c r="G47" s="85" t="s">
        <v>38</v>
      </c>
      <c r="H47" s="86"/>
      <c r="I47" s="86"/>
      <c r="J47" s="86"/>
      <c r="K47" s="86"/>
      <c r="L47" s="87"/>
    </row>
    <row r="48" spans="2:18" x14ac:dyDescent="0.45">
      <c r="D48" s="15" t="s">
        <v>1</v>
      </c>
      <c r="E48" s="37">
        <v>0.435</v>
      </c>
      <c r="F48" s="38">
        <v>30</v>
      </c>
      <c r="G48" s="88" t="s">
        <v>39</v>
      </c>
      <c r="H48" s="89"/>
      <c r="I48" s="89"/>
      <c r="J48" s="89"/>
      <c r="K48" s="89"/>
      <c r="L48" s="90"/>
    </row>
    <row r="49" spans="3:15" ht="14.65" thickBot="1" x14ac:dyDescent="0.5">
      <c r="D49" s="16" t="s">
        <v>2</v>
      </c>
      <c r="E49" s="39">
        <v>3.1520000000000001</v>
      </c>
      <c r="F49" s="40">
        <v>60</v>
      </c>
      <c r="G49" s="91" t="s">
        <v>40</v>
      </c>
      <c r="H49" s="92"/>
      <c r="I49" s="92"/>
      <c r="J49" s="92"/>
      <c r="K49" s="92"/>
      <c r="L49" s="93"/>
    </row>
    <row r="51" spans="3:15" ht="14.65" thickBot="1" x14ac:dyDescent="0.5"/>
    <row r="52" spans="3:15" ht="14.65" thickBot="1" x14ac:dyDescent="0.5">
      <c r="C52" s="28"/>
      <c r="D52" s="7" t="s">
        <v>33</v>
      </c>
      <c r="E52" s="49" t="s">
        <v>32</v>
      </c>
      <c r="F52" s="49"/>
      <c r="G52" s="7" t="s">
        <v>31</v>
      </c>
      <c r="H52" s="49" t="s">
        <v>9</v>
      </c>
      <c r="I52" s="49"/>
      <c r="J52" s="49"/>
      <c r="K52" s="49"/>
      <c r="L52" s="50"/>
    </row>
    <row r="53" spans="3:15" ht="19.899999999999999" x14ac:dyDescent="0.7">
      <c r="D53" s="23" t="s">
        <v>19</v>
      </c>
      <c r="E53" s="68" t="s">
        <v>29</v>
      </c>
      <c r="F53" s="69"/>
      <c r="G53" s="41">
        <f>E49/E47</f>
        <v>28.142857142857142</v>
      </c>
      <c r="H53" s="94" t="str">
        <f>IFERROR(ROUND(E49,2) &amp; " ÷ " &amp; ROUND(E47,2) &amp; " = " &amp; ROUND(E49/E47,3), "Fehler: Ungültige Werte")</f>
        <v>3.15 ÷ 0.11 = 28.143</v>
      </c>
      <c r="I53" s="95"/>
      <c r="J53" s="95"/>
      <c r="K53" s="95"/>
      <c r="L53" s="96"/>
    </row>
    <row r="54" spans="3:15" ht="19.899999999999999" x14ac:dyDescent="0.7">
      <c r="D54" s="29" t="s">
        <v>20</v>
      </c>
      <c r="E54" s="70" t="s">
        <v>30</v>
      </c>
      <c r="F54" s="71"/>
      <c r="G54" s="42">
        <f>(E48^2)/(E47*E49)</f>
        <v>0.53601171591733143</v>
      </c>
      <c r="H54" s="97" t="str">
        <f>IFERROR("(" &amp; ROUND(E48,2) &amp; "²) ÷ (" &amp; ROUND(E47,2) &amp; " × " &amp; ROUND(E49,2) &amp; ") = " &amp; ROUND((E48^2)/(E47*E49),3), "Fehler: Ungültige Werte")</f>
        <v>(0.44²) ÷ (0.11 × 3.15) = 0.536</v>
      </c>
      <c r="I54" s="98"/>
      <c r="J54" s="98"/>
      <c r="K54" s="98"/>
      <c r="L54" s="99"/>
    </row>
    <row r="55" spans="3:15" x14ac:dyDescent="0.45">
      <c r="D55" s="30" t="s">
        <v>16</v>
      </c>
      <c r="E55" s="51" t="s">
        <v>34</v>
      </c>
      <c r="F55" s="52"/>
      <c r="G55" s="43">
        <f>IF(AND(ISNUMBER(E4), ISNUMBER(F4), E4&gt;0, F4&gt;0, E4&gt;F4), E4-F4, "-")</f>
        <v>10</v>
      </c>
      <c r="H55" s="100" t="str">
        <f>IF(AND(ISNUMBER(E4), ISNUMBER(F4), E4&gt;0, F4&gt;0, E4&gt;F4), "(" &amp; E4 &amp; " - " &amp; F4 &amp; ") = " &amp; (E4 - F4), "Ungültige WP und WL Werte")</f>
        <v>(48 - 38) = 10</v>
      </c>
      <c r="I55" s="101"/>
      <c r="J55" s="101"/>
      <c r="K55" s="101"/>
      <c r="L55" s="102"/>
    </row>
    <row r="56" spans="3:15" ht="14.65" thickBot="1" x14ac:dyDescent="0.5">
      <c r="D56" s="31" t="s">
        <v>28</v>
      </c>
      <c r="E56" s="72" t="s">
        <v>36</v>
      </c>
      <c r="F56" s="73"/>
      <c r="G56" s="45" t="str" cm="1">
        <f t="array" ref="G56">PunktInPolygon(E4, G55)</f>
        <v>ML,OL</v>
      </c>
      <c r="H56" s="103" t="s">
        <v>35</v>
      </c>
      <c r="I56" s="104"/>
      <c r="J56" s="104"/>
      <c r="K56" s="104"/>
      <c r="L56" s="105"/>
    </row>
    <row r="57" spans="3:15" x14ac:dyDescent="0.45">
      <c r="E57" s="44"/>
      <c r="F57" s="11"/>
    </row>
    <row r="58" spans="3:15" ht="14.65" thickBot="1" x14ac:dyDescent="0.5">
      <c r="E58" s="44"/>
      <c r="F58" s="11"/>
    </row>
    <row r="59" spans="3:15" ht="14.65" thickBot="1" x14ac:dyDescent="0.5">
      <c r="C59" s="65" t="s">
        <v>21</v>
      </c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7"/>
    </row>
    <row r="60" spans="3:15" ht="18" customHeight="1" x14ac:dyDescent="0.45">
      <c r="D60" s="76" t="str">
        <f>IF((MAX(H9:H26)-MIN(H9:H26))&gt;50, " - Grobkörniger Boden, da der Anteil von Kies und Sand über 50 % liegt", "Feinkörniger Boden, da der Anteil an Kies und Sand unter 50 % liegt")</f>
        <v xml:space="preserve"> - Grobkörniger Boden, da der Anteil von Kies und Sand über 50 % liegt</v>
      </c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8"/>
    </row>
    <row r="61" spans="3:15" ht="18" customHeight="1" x14ac:dyDescent="0.45">
      <c r="D61" s="79" t="str">
        <f>IF((MAX(H9:H20)-MIN(H9:H20)) &gt; (MAX(H19:H27)-MIN(H19:H27)), " - Probe enthält mehr Kies als Sand (" &amp; ROUND((MAX(H9:H20)-MIN(H9:H20)),2) &amp; "% Kies, " &amp; ROUND((MAX(H19:H27)-MIN(H19:H27)),2) &amp; "% Sand)", " - Probe enthält mehr Sand als Kies (" &amp; ROUND((MAX(H19:H27)-MIN(H19:H27)),2) &amp; "% Sand, " &amp; ROUND((MAX(H9:H20)-MIN(H9:H20)),2) &amp; "% Kies)")</f>
        <v xml:space="preserve"> - Probe enthält mehr Sand als Kies (47.02% Sand, 40.42% Kies)</v>
      </c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1"/>
    </row>
    <row r="62" spans="3:15" ht="18" customHeight="1" thickBot="1" x14ac:dyDescent="0.5">
      <c r="D62" s="82" t="str">
        <f>IF(OR(AND(ISNUMBER(SEARCH("CH",G56)), ISNUMBER(SEARCH("OL",G56))), AND(ISNUMBER(SEARCH("CM",G56)), ISNUMBER(SEARCH("OL",G56))), AND(ISNUMBER(SEARCH("CL",G56)), ISNUMBER(SEARCH("OL",G56))), AND(ISNUMBER(SEARCH("CL",G56)), ISNUMBER(SEARCH("ML",G56)))), " - Ton, weil oberhalb der A-Linie", IF(OR(AND(ISNUMBER(SEARCH("ML",G56)), ISNUMBER(SEARCH("OL",G56))), AND(ISNUMBER(SEARCH("MH",G56)), ISNUMBER(SEARCH("OH",G56)))), " - Silt, weil unterhalb der A-Linie", ""))</f>
        <v xml:space="preserve"> - Silt, weil unterhalb der A-Linie</v>
      </c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4"/>
    </row>
    <row r="63" spans="3:15" ht="18.600000000000001" customHeight="1" x14ac:dyDescent="0.45">
      <c r="D63" s="53" t="str" cm="1">
        <f t="array" ref="D63">IF((MAX(H9:H26)-MIN(H9:H26))&gt;50,IF((MAX(H9:H19)-MIN(H9:H19))&gt;(MAX(H19:H26)-MIN(H19:H26)),KiesKlasseUndBeschreibung(MAX(H26:H41)-MIN(H26:H41),G53,G54,G56,(MAX(H19:H26)-MIN(H19:H26))),SandKlasseUndBeschreibung(MAX(H26:H41)-MIN(H26:H41),G53,G54,G56,(MAX(H19:H26)-MIN(H19:H26)))),KlassifiziereFein(MAX(H26:H41)-MIN(H26:H41),G53,G54,G56,(MAX(H19:H26)-MIN(H19:H26))))</f>
        <v>SP-SM - schlecht abgestufter Sand mit Kies und Silt</v>
      </c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5"/>
    </row>
    <row r="64" spans="3:15" ht="15" customHeight="1" x14ac:dyDescent="0.45">
      <c r="D64" s="56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8"/>
    </row>
    <row r="65" spans="4:15" ht="15" customHeight="1" x14ac:dyDescent="0.45">
      <c r="D65" s="59" t="str" cm="1">
        <f t="array" ref="D65">IF((MAX(H9:H26)-MIN(H9:H26))&gt;50,IF((MAX(H9:H19)-MIN(H9:H$19))&gt;(MAX(H19:H26)-MIN(H19:H26)),BegruendungFuerKiesKlasse(MAX(H26:H41)-MIN(H26:H41),G53,G54,G56,(MAX(H19:H26)-MIN(H19:H26))),BegruendungFuerSandKlasse(MAX(H26:H41)-MIN(H26:H41),G53,G54,G56,(MAX(H19:H26)-MIN(H19:H26)))),KlassifiziereFein(MAX(H26:H41)-MIN(H26:H41),G53,G54,G56,(MAX(H19:H26)-MIN(H19:H26))))</f>
        <v>(Feinanteil 5-12%, CUD &lt; 6 oder CCD außerhalb 1-3, Bodenklasse enthält ML/MH)</v>
      </c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1"/>
    </row>
    <row r="66" spans="4:15" ht="14.65" thickBot="1" x14ac:dyDescent="0.5">
      <c r="D66" s="62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4"/>
    </row>
    <row r="74" spans="4:15" x14ac:dyDescent="0.45">
      <c r="D74"/>
      <c r="F74" s="19"/>
    </row>
    <row r="75" spans="4:15" x14ac:dyDescent="0.45">
      <c r="D75"/>
      <c r="F75" s="5"/>
    </row>
    <row r="76" spans="4:15" x14ac:dyDescent="0.45">
      <c r="D76"/>
    </row>
    <row r="78" spans="4:15" ht="18" x14ac:dyDescent="0.55000000000000004">
      <c r="G78" s="9"/>
    </row>
  </sheetData>
  <sheetProtection algorithmName="SHA-512" hashValue="vdFsGbHSzw3VVBZofi8J7oUkPgivs59Yf/EKBOyMP5OevqnTuuxYAvvfS1Z6LMlg1kn31b7dmutQ8P4eSc/ZfA==" saltValue="6jFd5GqgN7xTpsI/DFl6AQ==" spinCount="100000" sheet="1" objects="1" scenarios="1" selectLockedCells="1"/>
  <mergeCells count="46">
    <mergeCell ref="B27:C41"/>
    <mergeCell ref="I39:I40"/>
    <mergeCell ref="I26:I27"/>
    <mergeCell ref="B10:C26"/>
    <mergeCell ref="G47:L47"/>
    <mergeCell ref="E39:E40"/>
    <mergeCell ref="F39:F40"/>
    <mergeCell ref="G39:G40"/>
    <mergeCell ref="H39:H40"/>
    <mergeCell ref="D40:D41"/>
    <mergeCell ref="D27:D39"/>
    <mergeCell ref="E26:E27"/>
    <mergeCell ref="F26:F27"/>
    <mergeCell ref="G26:G27"/>
    <mergeCell ref="H26:H27"/>
    <mergeCell ref="D20:D26"/>
    <mergeCell ref="E9:E10"/>
    <mergeCell ref="F9:F10"/>
    <mergeCell ref="G9:G10"/>
    <mergeCell ref="H9:H10"/>
    <mergeCell ref="D7:D9"/>
    <mergeCell ref="D10:D19"/>
    <mergeCell ref="F19:F20"/>
    <mergeCell ref="G19:G20"/>
    <mergeCell ref="H19:H20"/>
    <mergeCell ref="E19:E20"/>
    <mergeCell ref="D63:O64"/>
    <mergeCell ref="D65:O66"/>
    <mergeCell ref="C59:O59"/>
    <mergeCell ref="H53:L53"/>
    <mergeCell ref="H54:L54"/>
    <mergeCell ref="H56:L56"/>
    <mergeCell ref="E53:F53"/>
    <mergeCell ref="D60:O60"/>
    <mergeCell ref="D61:O61"/>
    <mergeCell ref="D62:O62"/>
    <mergeCell ref="E54:F54"/>
    <mergeCell ref="E56:F56"/>
    <mergeCell ref="E52:F52"/>
    <mergeCell ref="H52:L52"/>
    <mergeCell ref="E55:F55"/>
    <mergeCell ref="H55:L55"/>
    <mergeCell ref="I14:I25"/>
    <mergeCell ref="G46:L46"/>
    <mergeCell ref="G49:L49"/>
    <mergeCell ref="G48:L48"/>
  </mergeCells>
  <conditionalFormatting sqref="G43">
    <cfRule type="cellIs" dxfId="1" priority="1" operator="greaterThan">
      <formula>1</formula>
    </cfRule>
    <cfRule type="cellIs" dxfId="0" priority="2" operator="lessThan">
      <formula>1</formula>
    </cfRule>
  </conditionalFormatting>
  <hyperlinks>
    <hyperlink ref="J1" r:id="rId1" xr:uid="{6DD2174B-D812-486C-A5BA-22548A72C272}"/>
  </hyperlinks>
  <pageMargins left="0.7" right="0.7" top="0.75" bottom="0.75" header="0.3" footer="0.3"/>
  <pageSetup paperSize="9" orientation="portrait" horizontalDpi="300" verticalDpi="30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D95ADE-F2EF-4661-A06E-C110AECC39E0}">
          <x14:formula1>
            <xm:f>Siebgrössen_gefiltert!$E$2:$E$3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DDB86-CABB-4E71-8E07-B3DE160F9984}">
  <sheetPr codeName="Tabelle2"/>
  <dimension ref="A1:G35"/>
  <sheetViews>
    <sheetView workbookViewId="0">
      <selection activeCell="C42" sqref="C42"/>
    </sheetView>
  </sheetViews>
  <sheetFormatPr baseColWidth="10" defaultColWidth="11.46484375" defaultRowHeight="14.25" x14ac:dyDescent="0.45"/>
  <cols>
    <col min="7" max="7" width="95.796875" customWidth="1"/>
  </cols>
  <sheetData>
    <row r="1" spans="1:7" x14ac:dyDescent="0.45">
      <c r="A1" s="17"/>
      <c r="B1" s="17"/>
      <c r="E1" s="5" t="s">
        <v>24</v>
      </c>
      <c r="F1" s="5"/>
      <c r="G1" s="5"/>
    </row>
    <row r="2" spans="1:7" x14ac:dyDescent="0.45">
      <c r="A2" s="18"/>
      <c r="B2" s="18"/>
      <c r="D2" s="5"/>
      <c r="E2" s="10" t="s">
        <v>22</v>
      </c>
    </row>
    <row r="3" spans="1:7" x14ac:dyDescent="0.45">
      <c r="A3" s="18"/>
      <c r="B3" s="18"/>
      <c r="D3" s="5"/>
      <c r="E3" s="10" t="s">
        <v>23</v>
      </c>
    </row>
    <row r="4" spans="1:7" x14ac:dyDescent="0.45">
      <c r="A4" s="18"/>
      <c r="B4" s="18"/>
      <c r="D4" s="5"/>
      <c r="E4" s="10"/>
    </row>
    <row r="5" spans="1:7" x14ac:dyDescent="0.45">
      <c r="A5" s="18"/>
      <c r="B5" s="18"/>
    </row>
    <row r="6" spans="1:7" x14ac:dyDescent="0.45">
      <c r="A6" s="18"/>
      <c r="B6" s="18"/>
    </row>
    <row r="7" spans="1:7" x14ac:dyDescent="0.45">
      <c r="A7" s="18"/>
      <c r="B7" s="18"/>
      <c r="D7" s="5"/>
      <c r="F7" s="11"/>
    </row>
    <row r="8" spans="1:7" x14ac:dyDescent="0.45">
      <c r="A8" s="18"/>
      <c r="B8" s="18"/>
      <c r="D8" s="5"/>
      <c r="F8" s="11"/>
    </row>
    <row r="9" spans="1:7" x14ac:dyDescent="0.45">
      <c r="A9" s="18"/>
      <c r="B9" s="18"/>
    </row>
    <row r="10" spans="1:7" x14ac:dyDescent="0.45">
      <c r="A10" s="18"/>
      <c r="B10" s="18"/>
    </row>
    <row r="11" spans="1:7" x14ac:dyDescent="0.45">
      <c r="A11" s="18"/>
      <c r="B11" s="18"/>
    </row>
    <row r="12" spans="1:7" x14ac:dyDescent="0.45">
      <c r="A12" s="18"/>
      <c r="B12" s="18"/>
    </row>
    <row r="13" spans="1:7" x14ac:dyDescent="0.45">
      <c r="A13" s="18"/>
      <c r="B13" s="18"/>
    </row>
    <row r="14" spans="1:7" x14ac:dyDescent="0.45">
      <c r="A14" s="18"/>
      <c r="B14" s="18"/>
    </row>
    <row r="15" spans="1:7" x14ac:dyDescent="0.45">
      <c r="A15" s="18"/>
      <c r="B15" s="18"/>
    </row>
    <row r="16" spans="1:7" x14ac:dyDescent="0.45">
      <c r="A16" s="18"/>
      <c r="B16" s="18"/>
    </row>
    <row r="17" spans="1:2" x14ac:dyDescent="0.45">
      <c r="A17" s="18"/>
      <c r="B17" s="18"/>
    </row>
    <row r="18" spans="1:2" x14ac:dyDescent="0.45">
      <c r="A18" s="18"/>
      <c r="B18" s="18"/>
    </row>
    <row r="19" spans="1:2" x14ac:dyDescent="0.45">
      <c r="A19" s="18"/>
      <c r="B19" s="18"/>
    </row>
    <row r="20" spans="1:2" x14ac:dyDescent="0.45">
      <c r="A20" s="18"/>
      <c r="B20" s="18"/>
    </row>
    <row r="21" spans="1:2" x14ac:dyDescent="0.45">
      <c r="A21" s="18"/>
      <c r="B21" s="18"/>
    </row>
    <row r="22" spans="1:2" x14ac:dyDescent="0.45">
      <c r="A22" s="18"/>
      <c r="B22" s="18"/>
    </row>
    <row r="23" spans="1:2" x14ac:dyDescent="0.45">
      <c r="A23" s="18"/>
      <c r="B23" s="18"/>
    </row>
    <row r="24" spans="1:2" x14ac:dyDescent="0.45">
      <c r="A24" s="18"/>
      <c r="B24" s="18"/>
    </row>
    <row r="25" spans="1:2" x14ac:dyDescent="0.45">
      <c r="A25" s="18"/>
      <c r="B25" s="18"/>
    </row>
    <row r="26" spans="1:2" x14ac:dyDescent="0.45">
      <c r="A26" s="18"/>
      <c r="B26" s="18"/>
    </row>
    <row r="27" spans="1:2" x14ac:dyDescent="0.45">
      <c r="A27" s="18"/>
      <c r="B27" s="18"/>
    </row>
    <row r="28" spans="1:2" x14ac:dyDescent="0.45">
      <c r="A28" s="18"/>
      <c r="B28" s="18"/>
    </row>
    <row r="29" spans="1:2" x14ac:dyDescent="0.45">
      <c r="A29" s="18"/>
      <c r="B29" s="18"/>
    </row>
    <row r="30" spans="1:2" x14ac:dyDescent="0.45">
      <c r="A30" s="18"/>
      <c r="B30" s="18"/>
    </row>
    <row r="31" spans="1:2" x14ac:dyDescent="0.45">
      <c r="A31" s="18"/>
      <c r="B31" s="18"/>
    </row>
    <row r="32" spans="1:2" x14ac:dyDescent="0.45">
      <c r="A32" s="18"/>
      <c r="B32" s="18"/>
    </row>
    <row r="33" spans="1:2" x14ac:dyDescent="0.45">
      <c r="A33" s="18"/>
      <c r="B33" s="18"/>
    </row>
    <row r="34" spans="1:2" x14ac:dyDescent="0.45">
      <c r="A34" s="18"/>
      <c r="B34" s="18"/>
    </row>
    <row r="35" spans="1:2" x14ac:dyDescent="0.45">
      <c r="A35" s="18"/>
      <c r="B35" s="18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Siebkurve</vt:lpstr>
      <vt:lpstr>Siebgrössen_gefiltert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2025-02-18T17:12:21Z</dcterms:created>
  <dcterms:modified xsi:type="dcterms:W3CDTF">2025-02-22T20:17:34Z</dcterms:modified>
</cp:coreProperties>
</file>