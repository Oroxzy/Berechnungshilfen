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129" codeName="{DC747B9D-DBBB-FA85-71B4-595EBAB97821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Mac\Home\Documents\"/>
    </mc:Choice>
  </mc:AlternateContent>
  <xr:revisionPtr revIDLastSave="0" documentId="13_ncr:1_{A820ED3A-4F05-4754-BCED-AB4BDEF94285}" xr6:coauthVersionLast="47" xr6:coauthVersionMax="47" xr10:uidLastSave="{00000000-0000-0000-0000-000000000000}"/>
  <bookViews>
    <workbookView xWindow="-98" yWindow="-98" windowWidth="28996" windowHeight="15990" xr2:uid="{00000000-000D-0000-FFFF-FFFF00000000}"/>
  </bookViews>
  <sheets>
    <sheet name="Siebkurve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0" i="1" l="1"/>
  <c r="C18" i="1"/>
  <c r="C17" i="1"/>
  <c r="B18" i="1"/>
  <c r="B17" i="1"/>
  <c r="C6" i="1"/>
  <c r="C7" i="1"/>
  <c r="C8" i="1"/>
  <c r="C9" i="1"/>
  <c r="C10" i="1"/>
  <c r="C11" i="1"/>
  <c r="C12" i="1"/>
  <c r="C13" i="1"/>
  <c r="C14" i="1"/>
  <c r="C15" i="1"/>
  <c r="C5" i="1"/>
  <c r="C4" i="1"/>
  <c r="D4" i="1" s="1"/>
  <c r="H4" i="1"/>
  <c r="F7" i="1" a="1"/>
  <c r="D5" i="1" l="1"/>
  <c r="D6" i="1" s="1"/>
  <c r="D7" i="1" s="1"/>
  <c r="D8" i="1" s="1"/>
  <c r="D9" i="1" s="1"/>
  <c r="F7" i="1"/>
  <c r="B29" i="1" l="1" a="1"/>
  <c r="B29" i="1" s="1"/>
  <c r="B35" i="1"/>
  <c r="D10" i="1"/>
  <c r="D11" i="1" l="1"/>
  <c r="D12" i="1" s="1"/>
  <c r="D13" i="1" s="1"/>
  <c r="D14" i="1" s="1"/>
  <c r="B27" i="1" a="1"/>
  <c r="B27" i="1" s="1"/>
  <c r="B31" i="1" s="1"/>
  <c r="B28" i="1" l="1" a="1"/>
  <c r="B28" i="1" s="1"/>
  <c r="B32" i="1" s="1"/>
  <c r="B37" i="1"/>
  <c r="B36" i="1"/>
  <c r="D15" i="1"/>
  <c r="B38" i="1" l="1"/>
  <c r="B3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<sst xmlns="http://schemas.openxmlformats.org/spreadsheetml/2006/main" count="24" uniqueCount="24">
  <si>
    <t>Siebgröße (mm)</t>
  </si>
  <si>
    <t>Rückstand (g)</t>
  </si>
  <si>
    <t>Rückstand in %</t>
  </si>
  <si>
    <t>Summe (%)</t>
  </si>
  <si>
    <t>D10</t>
  </si>
  <si>
    <t>D30</t>
  </si>
  <si>
    <t>D60</t>
  </si>
  <si>
    <t>Ccd=</t>
  </si>
  <si>
    <t xml:space="preserve">Cud = </t>
  </si>
  <si>
    <t>Steine</t>
  </si>
  <si>
    <t>Kies</t>
  </si>
  <si>
    <t>Sand</t>
  </si>
  <si>
    <t>Fein</t>
  </si>
  <si>
    <t>WL</t>
  </si>
  <si>
    <t>WP</t>
  </si>
  <si>
    <t>IP</t>
  </si>
  <si>
    <t>Anteil Kies &amp; Sand</t>
  </si>
  <si>
    <t>Schlämmanalyse</t>
  </si>
  <si>
    <t>&lt; 0.06 mm</t>
  </si>
  <si>
    <t>&lt; 0.02 mm</t>
  </si>
  <si>
    <t>&lt; 0.002 mm</t>
  </si>
  <si>
    <t xml:space="preserve">Probe </t>
  </si>
  <si>
    <t>Total</t>
  </si>
  <si>
    <t>Verlust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</si>
</sst>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5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4"/>
      <color rgb="FF000000"/>
      <name val="Calibri"/>
      <family val="2"/>
    </font>
    <font>
      <sz val="10"/>
      <color rgb="FF000000"/>
      <name val="Arial Unicode MS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0" borderId="1" xfId="0" applyFont="1" applyBorder="1" applyAlignment="1">
      <alignment horizontal="center" vertical="top"/>
    </xf>
    <xf numFmtId="0" fontId="1" fillId="0" borderId="0" xfId="0" applyFont="1"/>
    <xf numFmtId="0" fontId="2" fillId="0" borderId="2" xfId="0" applyFont="1" applyBorder="1" applyAlignment="1">
      <alignment horizontal="center" vertical="top"/>
    </xf>
    <xf numFmtId="0" fontId="3" fillId="0" borderId="0" xfId="0" applyFont="1"/>
    <xf numFmtId="164" fontId="1" fillId="0" borderId="0" xfId="0" applyNumberFormat="1" applyFont="1"/>
    <xf numFmtId="0" fontId="4" fillId="0" borderId="0" xfId="0" applyFont="1" applyAlignment="1">
      <alignment vertical="center"/>
    </xf>
    <xf numFmtId="4" fontId="1" fillId="0" borderId="0" xfId="0" applyNumberFormat="1" applyFont="1"/>
    <xf numFmtId="0" fontId="1" fillId="0" borderId="0" xfId="0" applyFont="1" applyAlignment="1">
      <alignment horizontal="right"/>
    </xf>
    <xf numFmtId="2" fontId="1" fillId="0" borderId="0" xfId="0" applyNumberFormat="1" applyFont="1"/>
  </cellXfs>
  <cellStyles count="1">
    <cellStyle name="Standard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Siebkurve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Siebkurve!$A$4:$A$15</c:f>
              <c:numCache>
                <c:formatCode>General</c:formatCode>
                <c:ptCount val="12"/>
                <c:pt idx="0">
                  <c:v>63</c:v>
                </c:pt>
                <c:pt idx="1">
                  <c:v>31.5</c:v>
                </c:pt>
                <c:pt idx="2">
                  <c:v>16</c:v>
                </c:pt>
                <c:pt idx="3">
                  <c:v>8</c:v>
                </c:pt>
                <c:pt idx="4">
                  <c:v>4</c:v>
                </c:pt>
                <c:pt idx="5">
                  <c:v>2</c:v>
                </c:pt>
                <c:pt idx="6">
                  <c:v>1</c:v>
                </c:pt>
                <c:pt idx="7">
                  <c:v>0.5</c:v>
                </c:pt>
                <c:pt idx="8">
                  <c:v>0.25</c:v>
                </c:pt>
                <c:pt idx="9">
                  <c:v>0.125</c:v>
                </c:pt>
                <c:pt idx="10">
                  <c:v>6.3E-2</c:v>
                </c:pt>
                <c:pt idx="11">
                  <c:v>0.02</c:v>
                </c:pt>
              </c:numCache>
            </c:numRef>
          </c:xVal>
          <c:yVal>
            <c:numRef>
              <c:f>Siebkurve!$D$4:$D$15</c:f>
              <c:numCache>
                <c:formatCode>#,##0.00</c:formatCode>
                <c:ptCount val="12"/>
                <c:pt idx="0">
                  <c:v>94.381035996488151</c:v>
                </c:pt>
                <c:pt idx="1">
                  <c:v>84.72344161545216</c:v>
                </c:pt>
                <c:pt idx="2">
                  <c:v>78.314310798946451</c:v>
                </c:pt>
                <c:pt idx="3">
                  <c:v>72.519754170324859</c:v>
                </c:pt>
                <c:pt idx="4">
                  <c:v>64.705882352941188</c:v>
                </c:pt>
                <c:pt idx="5">
                  <c:v>54.258121158911337</c:v>
                </c:pt>
                <c:pt idx="6">
                  <c:v>42.93239683933276</c:v>
                </c:pt>
                <c:pt idx="7">
                  <c:v>34.328358208955237</c:v>
                </c:pt>
                <c:pt idx="8">
                  <c:v>19.841966637401242</c:v>
                </c:pt>
                <c:pt idx="9">
                  <c:v>11.501316944688337</c:v>
                </c:pt>
                <c:pt idx="10">
                  <c:v>7.6382791922739388</c:v>
                </c:pt>
                <c:pt idx="11">
                  <c:v>1.7559262510974687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3C-4B20-AB4E-481F31BE2403}"/>
            </c:ext>
          </c:extLst>
        </c:ser>
        <c:ser>
          <c:idx val="1"/>
          <c:order val="1"/>
          <c:spPr>
            <a:ln w="9525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8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rgbClr val="FF0000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Siebkurve!$B$27:$B$29</c:f>
              <c:numCache>
                <c:formatCode>0.000</c:formatCode>
                <c:ptCount val="3"/>
                <c:pt idx="0">
                  <c:v>0.10090454545454522</c:v>
                </c:pt>
                <c:pt idx="1">
                  <c:v>0.42530303030303007</c:v>
                </c:pt>
                <c:pt idx="2">
                  <c:v>3.0991596638655441</c:v>
                </c:pt>
              </c:numCache>
            </c:numRef>
          </c:xVal>
          <c:yVal>
            <c:numRef>
              <c:f>Siebkurve!$C$27:$C$29</c:f>
              <c:numCache>
                <c:formatCode>0.00</c:formatCode>
                <c:ptCount val="3"/>
                <c:pt idx="0">
                  <c:v>10</c:v>
                </c:pt>
                <c:pt idx="1">
                  <c:v>30</c:v>
                </c:pt>
                <c:pt idx="2">
                  <c:v>60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BA3C-4B20-AB4E-481F31BE240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614279775"/>
        <c:axId val="614281695"/>
      </c:scatterChart>
      <c:valAx>
        <c:axId val="614279775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Siebgröße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alpha val="9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4281695"/>
        <c:crosses val="autoZero"/>
        <c:crossBetween val="midCat"/>
        <c:majorUnit val="2"/>
      </c:valAx>
      <c:valAx>
        <c:axId val="61428169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4279775"/>
        <c:crosses val="max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304046</xdr:colOff>
      <xdr:row>8</xdr:row>
      <xdr:rowOff>12212</xdr:rowOff>
    </xdr:from>
    <xdr:to>
      <xdr:col>21</xdr:col>
      <xdr:colOff>103798</xdr:colOff>
      <xdr:row>33</xdr:row>
      <xdr:rowOff>138404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20B89D4A-DFE9-A98E-1737-FDA75FDFCE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2:H40"/>
  <sheetViews>
    <sheetView tabSelected="1" zoomScale="81" workbookViewId="0">
      <selection activeCell="F13" sqref="F13"/>
    </sheetView>
  </sheetViews>
  <sheetFormatPr baseColWidth="10" defaultColWidth="8.796875" defaultRowHeight="14.25"/>
  <cols>
    <col min="1" max="4" width="15.19921875" style="2" customWidth="1"/>
    <col min="5" max="5" width="8.796875" style="2"/>
    <col min="6" max="6" width="18.46484375" style="2" customWidth="1"/>
    <col min="7" max="16384" width="8.796875" style="2"/>
  </cols>
  <sheetData>
    <row r="2" spans="1:8">
      <c r="A2" s="1" t="s">
        <v>21</v>
      </c>
      <c r="B2" s="2">
        <v>1139</v>
      </c>
      <c r="D2" s="2">
        <v>100</v>
      </c>
    </row>
    <row r="3" spans="1:8">
      <c r="A3" s="1" t="s">
        <v>0</v>
      </c>
      <c r="B3" s="1" t="s">
        <v>1</v>
      </c>
      <c r="C3" s="1" t="s">
        <v>2</v>
      </c>
      <c r="D3" s="1" t="s">
        <v>3</v>
      </c>
      <c r="F3" s="3" t="s">
        <v>13</v>
      </c>
      <c r="G3" s="3" t="s">
        <v>14</v>
      </c>
      <c r="H3" s="3" t="s">
        <v>15</v>
      </c>
    </row>
    <row r="4" spans="1:8">
      <c r="A4" s="2">
        <v>63</v>
      </c>
      <c r="B4" s="2">
        <v>64</v>
      </c>
      <c r="C4" s="7">
        <f>100/$B$2*B4</f>
        <v>5.6189640035118522</v>
      </c>
      <c r="D4" s="7">
        <f>D2-C4</f>
        <v>94.381035996488151</v>
      </c>
      <c r="F4" s="2">
        <v>55</v>
      </c>
      <c r="G4" s="2">
        <v>23</v>
      </c>
      <c r="H4" s="2">
        <f>F4-G4</f>
        <v>32</v>
      </c>
    </row>
    <row r="5" spans="1:8">
      <c r="A5" s="2">
        <v>31.5</v>
      </c>
      <c r="B5" s="2">
        <v>110</v>
      </c>
      <c r="C5" s="7">
        <f>100/$B$2*B5</f>
        <v>9.6575943810359952</v>
      </c>
      <c r="D5" s="7">
        <f>D4-C5</f>
        <v>84.72344161545216</v>
      </c>
    </row>
    <row r="6" spans="1:8">
      <c r="A6" s="2">
        <v>16</v>
      </c>
      <c r="B6" s="2">
        <v>73</v>
      </c>
      <c r="C6" s="7">
        <f t="shared" ref="C6:C15" si="0">100/$B$2*B6</f>
        <v>6.4091308165057068</v>
      </c>
      <c r="D6" s="7">
        <f t="shared" ref="D6:D15" si="1">D5-C6</f>
        <v>78.314310798946451</v>
      </c>
    </row>
    <row r="7" spans="1:8" ht="18">
      <c r="A7" s="2">
        <v>8</v>
      </c>
      <c r="B7" s="2">
        <v>66</v>
      </c>
      <c r="C7" s="7">
        <f t="shared" si="0"/>
        <v>5.7945566286215975</v>
      </c>
      <c r="D7" s="7">
        <f t="shared" si="1"/>
        <v>72.519754170324859</v>
      </c>
      <c r="F7" s="6" t="str" cm="1">
        <f t="array" ref="F7">PunktInPolygon(F4, H4)</f>
        <v>CH/OH</v>
      </c>
      <c r="G7" s="4"/>
    </row>
    <row r="8" spans="1:8" ht="18">
      <c r="A8" s="2">
        <v>4</v>
      </c>
      <c r="B8" s="2">
        <v>89</v>
      </c>
      <c r="C8" s="7">
        <f t="shared" si="0"/>
        <v>7.8138718173836699</v>
      </c>
      <c r="D8" s="7">
        <f t="shared" si="1"/>
        <v>64.705882352941188</v>
      </c>
      <c r="G8" s="4"/>
    </row>
    <row r="9" spans="1:8" ht="18">
      <c r="A9" s="2">
        <v>2</v>
      </c>
      <c r="B9" s="2">
        <v>119</v>
      </c>
      <c r="C9" s="7">
        <f t="shared" si="0"/>
        <v>10.44776119402985</v>
      </c>
      <c r="D9" s="7">
        <f t="shared" si="1"/>
        <v>54.258121158911337</v>
      </c>
      <c r="G9" s="4"/>
    </row>
    <row r="10" spans="1:8" ht="18">
      <c r="A10" s="2">
        <v>1</v>
      </c>
      <c r="B10" s="2">
        <v>129</v>
      </c>
      <c r="C10" s="7">
        <f t="shared" si="0"/>
        <v>11.325724319578578</v>
      </c>
      <c r="D10" s="7">
        <f t="shared" si="1"/>
        <v>42.93239683933276</v>
      </c>
      <c r="G10" s="4"/>
    </row>
    <row r="11" spans="1:8" ht="18">
      <c r="A11" s="2">
        <v>0.5</v>
      </c>
      <c r="B11" s="2">
        <v>98</v>
      </c>
      <c r="C11" s="7">
        <f t="shared" si="0"/>
        <v>8.6040386303775236</v>
      </c>
      <c r="D11" s="7">
        <f t="shared" si="1"/>
        <v>34.328358208955237</v>
      </c>
      <c r="G11" s="4"/>
    </row>
    <row r="12" spans="1:8" ht="18">
      <c r="A12" s="2">
        <v>0.25</v>
      </c>
      <c r="B12" s="2">
        <v>165</v>
      </c>
      <c r="C12" s="7">
        <f t="shared" si="0"/>
        <v>14.486391571553995</v>
      </c>
      <c r="D12" s="7">
        <f t="shared" si="1"/>
        <v>19.841966637401242</v>
      </c>
      <c r="G12" s="4"/>
    </row>
    <row r="13" spans="1:8">
      <c r="A13" s="2">
        <v>0.125</v>
      </c>
      <c r="B13" s="2">
        <v>95</v>
      </c>
      <c r="C13" s="7">
        <f t="shared" si="0"/>
        <v>8.3406496927129048</v>
      </c>
      <c r="D13" s="7">
        <f t="shared" si="1"/>
        <v>11.501316944688337</v>
      </c>
    </row>
    <row r="14" spans="1:8">
      <c r="A14" s="2">
        <v>6.3E-2</v>
      </c>
      <c r="B14" s="2">
        <v>44</v>
      </c>
      <c r="C14" s="7">
        <f t="shared" si="0"/>
        <v>3.8630377524143986</v>
      </c>
      <c r="D14" s="7">
        <f t="shared" si="1"/>
        <v>7.6382791922739388</v>
      </c>
    </row>
    <row r="15" spans="1:8">
      <c r="A15" s="8">
        <v>0.02</v>
      </c>
      <c r="B15" s="2">
        <v>67</v>
      </c>
      <c r="C15" s="7">
        <f t="shared" si="0"/>
        <v>5.8823529411764701</v>
      </c>
      <c r="D15" s="7">
        <f t="shared" si="1"/>
        <v>1.7559262510974687</v>
      </c>
    </row>
    <row r="16" spans="1:8" customFormat="1"/>
    <row r="17" spans="1:4">
      <c r="A17" s="1" t="s">
        <v>22</v>
      </c>
      <c r="B17" s="2">
        <f>SUM(B4:B16)</f>
        <v>1119</v>
      </c>
      <c r="C17" s="7">
        <f>SUM(C4:C16)</f>
        <v>98.244073748902537</v>
      </c>
      <c r="D17" s="7"/>
    </row>
    <row r="18" spans="1:4">
      <c r="A18" s="1" t="s">
        <v>23</v>
      </c>
      <c r="B18" s="2">
        <f>B2-B17</f>
        <v>20</v>
      </c>
      <c r="C18" s="7">
        <f>100-C17</f>
        <v>1.7559262510974634</v>
      </c>
      <c r="D18" s="7"/>
    </row>
    <row r="20" spans="1:4">
      <c r="A20" s="1" t="s">
        <v>17</v>
      </c>
    </row>
    <row r="21" spans="1:4">
      <c r="A21" s="2" t="s">
        <v>18</v>
      </c>
      <c r="B21" s="2">
        <v>11.6</v>
      </c>
    </row>
    <row r="22" spans="1:4">
      <c r="A22" s="2" t="s">
        <v>19</v>
      </c>
      <c r="B22" s="2">
        <v>8.1</v>
      </c>
    </row>
    <row r="23" spans="1:4">
      <c r="A23" s="2" t="s">
        <v>20</v>
      </c>
      <c r="B23" s="2">
        <v>2.6</v>
      </c>
    </row>
    <row r="27" spans="1:4">
      <c r="A27" s="2" t="s">
        <v>4</v>
      </c>
      <c r="B27" s="5" cm="1">
        <f t="array" ref="B27">INDEX(A4:A15,MATCH(10,D4:D15,-1))+((10-INDEX(D4:D15,MATCH(10,D4:D15,-1)))/(INDEX(D4:D15,MATCH(10,D4:D15,-1)+1)-INDEX(D4:D15,MATCH(10,D4:D15,-1))))*(INDEX(A4:A15,MATCH(10,D4:D15,-1)+1)-INDEX(A4:A15,MATCH(10,D4:D15,-1)))</f>
        <v>0.10090454545454522</v>
      </c>
      <c r="C27" s="9">
        <v>10</v>
      </c>
    </row>
    <row r="28" spans="1:4">
      <c r="A28" s="2" t="s">
        <v>5</v>
      </c>
      <c r="B28" s="5" cm="1">
        <f t="array" ref="B28">INDEX(A4:A15,MATCH(30,D4:D15,-1))+((30-INDEX(D4:D15,MATCH(30,D4:D15,-1)))/(INDEX(D4:D15,MATCH(30,D4:D15,-1)+1)-INDEX(D4:D15,MATCH(30,D4:D15,-1))))*(INDEX(A4:A15,MATCH(30,D4:D15,-1)+1)-INDEX(A4:A15,MATCH(30,D4:D15,-1)))</f>
        <v>0.42530303030303007</v>
      </c>
      <c r="C28" s="9">
        <v>30</v>
      </c>
    </row>
    <row r="29" spans="1:4">
      <c r="A29" s="2" t="s">
        <v>6</v>
      </c>
      <c r="B29" s="5" cm="1">
        <f t="array" ref="B29">INDEX(A4:A15,MATCH(60,D4:D15,-1))+((60-INDEX(D4:D15,MATCH(60,D4:D15,-1)))/(INDEX(D4:D15,MATCH(60,D4:D15,-1)+1)-INDEX(D4:D15,MATCH(60,D4:D15,-1))))*(INDEX(A4:A15,MATCH(60,D4:D15,-1)+1)-INDEX(A4:A15,MATCH(60,D4:D15,-1)))</f>
        <v>3.0991596638655441</v>
      </c>
      <c r="C29" s="9">
        <v>60</v>
      </c>
    </row>
    <row r="31" spans="1:4">
      <c r="A31" s="2" t="s">
        <v>8</v>
      </c>
      <c r="B31" s="5">
        <f>B29/B27</f>
        <v>30.713776568783338</v>
      </c>
    </row>
    <row r="32" spans="1:4">
      <c r="A32" s="2" t="s">
        <v>7</v>
      </c>
      <c r="B32" s="5">
        <f>(B28^2)/(B27*B29)</f>
        <v>0.57841863044554709</v>
      </c>
    </row>
    <row r="34" spans="1:2">
      <c r="A34" s="2" t="s">
        <v>9</v>
      </c>
      <c r="B34" s="7">
        <f>100-B35-B36-B37</f>
        <v>5.6189640035118513</v>
      </c>
    </row>
    <row r="35" spans="1:2">
      <c r="A35" s="2" t="s">
        <v>10</v>
      </c>
      <c r="B35" s="7">
        <f>D4-D9</f>
        <v>40.122914837576815</v>
      </c>
    </row>
    <row r="36" spans="1:2">
      <c r="A36" s="2" t="s">
        <v>11</v>
      </c>
      <c r="B36" s="7">
        <f>D9-D14</f>
        <v>46.619841966637395</v>
      </c>
    </row>
    <row r="37" spans="1:2">
      <c r="A37" s="2" t="s">
        <v>12</v>
      </c>
      <c r="B37" s="7">
        <f>D14</f>
        <v>7.6382791922739388</v>
      </c>
    </row>
    <row r="38" spans="1:2">
      <c r="A38" s="2" t="s">
        <v>16</v>
      </c>
      <c r="B38" s="7">
        <f>B35+B36</f>
        <v>86.74275680421421</v>
      </c>
    </row>
    <row r="40" spans="1:2">
      <c r="B40" s="7">
        <f>SUM(B34:B37)</f>
        <v>100</v>
      </c>
    </row>
  </sheetData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Siebkurve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Meile Jeremy</cp:lastModifiedBy>
  <dcterms:created xsi:type="dcterms:W3CDTF">2025-02-18T17:12:21Z</dcterms:created>
  <dcterms:modified xsi:type="dcterms:W3CDTF">2025-02-18T21:30:09Z</dcterms:modified>
</cp:coreProperties>
</file>