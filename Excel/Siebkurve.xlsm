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"/>
    </mc:Choice>
  </mc:AlternateContent>
  <xr:revisionPtr revIDLastSave="0" documentId="13_ncr:1_{FE4FED6C-5F2D-4EA3-AE81-8358B1381FC4}" xr6:coauthVersionLast="47" xr6:coauthVersionMax="47" xr10:uidLastSave="{00000000-0000-0000-0000-000000000000}"/>
  <bookViews>
    <workbookView xWindow="1368" yWindow="192" windowWidth="29196" windowHeight="16032" xr2:uid="{00000000-000D-0000-FFFF-FFFF00000000}"/>
  </bookViews>
  <sheets>
    <sheet name="Siebkurve" sheetId="1" r:id="rId1"/>
    <sheet name="Siebgrössen gefiltert" sheetId="2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1" l="1"/>
  <c r="H39" i="1"/>
  <c r="H28" i="1"/>
  <c r="H29" i="1"/>
  <c r="H30" i="1"/>
  <c r="H15" i="1"/>
  <c r="H17" i="1"/>
  <c r="H8" i="1"/>
  <c r="H13" i="1"/>
  <c r="G7" i="1" l="1"/>
  <c r="H7" i="1" s="1"/>
  <c r="H9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4" i="1"/>
  <c r="G25" i="1"/>
  <c r="G27" i="1"/>
  <c r="G28" i="1"/>
  <c r="G29" i="1"/>
  <c r="G30" i="1"/>
  <c r="G31" i="1"/>
  <c r="H31" i="1" s="1"/>
  <c r="G32" i="1"/>
  <c r="H32" i="1" s="1"/>
  <c r="G33" i="1"/>
  <c r="H33" i="1" s="1"/>
  <c r="G34" i="1"/>
  <c r="H34" i="1" s="1"/>
  <c r="G35" i="1"/>
  <c r="H35" i="1" s="1"/>
  <c r="G36" i="1"/>
  <c r="G37" i="1"/>
  <c r="H37" i="1" s="1"/>
  <c r="G39" i="1"/>
  <c r="E45" i="1" a="1"/>
  <c r="E46" i="1" a="1"/>
  <c r="E47" i="1" a="1"/>
  <c r="E47" i="1" l="1"/>
  <c r="E46" i="1"/>
  <c r="E45" i="1"/>
  <c r="G47" i="1" a="1"/>
  <c r="G46" i="1" a="1"/>
  <c r="G45" i="1" a="1"/>
  <c r="H11" i="1" l="1"/>
  <c r="G45" i="1"/>
  <c r="G46" i="1"/>
  <c r="G47" i="1"/>
  <c r="H12" i="1" l="1"/>
  <c r="H14" i="1" s="1"/>
  <c r="F51" i="1"/>
  <c r="E51" i="1"/>
  <c r="F52" i="1"/>
  <c r="E52" i="1"/>
  <c r="H16" i="1" l="1"/>
  <c r="F40" i="1"/>
  <c r="H18" i="1" l="1"/>
  <c r="H19" i="1" s="1"/>
  <c r="H21" i="1" s="1"/>
  <c r="H22" i="1" s="1"/>
  <c r="H23" i="1" s="1"/>
  <c r="H24" i="1" s="1"/>
  <c r="H25" i="1" s="1"/>
  <c r="G40" i="1"/>
  <c r="F41" i="1"/>
  <c r="G4" i="1"/>
  <c r="H4" i="1" a="1"/>
  <c r="H27" i="1" l="1"/>
  <c r="G41" i="1"/>
  <c r="H4" i="1"/>
  <c r="D38" i="1" l="1"/>
  <c r="D7" i="1" l="1"/>
  <c r="E61" i="1"/>
  <c r="E58" i="1" l="1"/>
  <c r="D10" i="1"/>
  <c r="E59" i="1" l="1"/>
  <c r="E57" i="1"/>
  <c r="E64" i="1" s="1"/>
  <c r="B10" i="1"/>
  <c r="D20" i="1"/>
  <c r="E60" i="1"/>
  <c r="E65" i="1"/>
  <c r="F67" i="1" a="1"/>
  <c r="F68" i="1" a="1"/>
  <c r="F68" i="1" l="1"/>
  <c r="F67" i="1"/>
  <c r="E62" i="1"/>
  <c r="D26" i="1"/>
  <c r="B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<sst xmlns="http://schemas.openxmlformats.org/spreadsheetml/2006/main" count="34" uniqueCount="32">
  <si>
    <t>D10</t>
  </si>
  <si>
    <t>D30</t>
  </si>
  <si>
    <t>D60</t>
  </si>
  <si>
    <t>Steine</t>
  </si>
  <si>
    <t>Kies</t>
  </si>
  <si>
    <t>Sand</t>
  </si>
  <si>
    <t>Fein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</si>
  <si>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</si>
  <si>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</si>
  <si>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</si>
  <si>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</si>
  <si>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</si>
  <si>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</si>
  <si>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</si>
  <si>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Probe </t>
    </r>
    <r>
      <rPr>
        <sz val="11"/>
        <rFont val="Calibri"/>
        <family val="2"/>
        <scheme val="minor"/>
      </rPr>
      <t>(g)</t>
    </r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</si>
  <si>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</si>
  <si>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</si>
  <si>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</si>
  <si>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</si>
  <si>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</si>
  <si>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</si>
  <si>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</si>
  <si>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r>
      <t xml:space="preserve">Coefficient of Uniformity </t>
    </r>
    <r>
      <rPr>
        <sz val="9"/>
        <rFont val="Calibri"/>
        <family val="2"/>
        <scheme val="minor"/>
      </rPr>
      <t>(Ungleichförmigkeitszahl)</t>
    </r>
    <r>
      <rPr>
        <b/>
        <sz val="11"/>
        <rFont val="Calibri"/>
        <family val="2"/>
        <scheme val="minor"/>
      </rPr>
      <t xml:space="preserve"> &amp; Coefficient of Curvature</t>
    </r>
    <r>
      <rPr>
        <sz val="9"/>
        <rFont val="Calibri"/>
        <family val="2"/>
        <scheme val="minor"/>
      </rPr>
      <t xml:space="preserve"> (Krümmungskoeffizient)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</si>
  <si>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</si>
  <si>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1"/>
        <color theme="1"/>
        <rFont val="Calibri"/>
        <family val="2"/>
        <scheme val="minor"/>
      </rPr>
      <t>CD</t>
    </r>
  </si>
  <si>
    <r>
      <t xml:space="preserve">Plastizität </t>
    </r>
    <r>
      <rPr>
        <sz val="9"/>
        <color theme="1"/>
        <rFont val="Calibri"/>
        <family val="2"/>
        <scheme val="minor"/>
      </rPr>
      <t>(Automatisch)</t>
    </r>
  </si>
  <si>
    <t xml:space="preserve">Anteil </t>
  </si>
  <si>
    <t>Kies &amp; Sand</t>
  </si>
  <si>
    <t>%</t>
  </si>
  <si>
    <t>Klassifikationsdiagramm Kies:</t>
  </si>
  <si>
    <t>&lt; 1 %</t>
  </si>
  <si>
    <t>Klassifikationsdiagramm Sand: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</si>
</sst>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0" fillId="9" borderId="16" applyNumberFormat="0" applyAlignment="0" applyProtection="0"/>
  </cellStyleXfs>
  <cellXfs count="98">
    <xf numFmtId="0" fontId="0" fillId="0" borderId="0" xfId="0"/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5" xfId="0" applyFont="1" applyFill="1" applyBorder="1"/>
    <xf numFmtId="0" fontId="7" fillId="4" borderId="6" xfId="3" applyFont="1" applyFill="1" applyBorder="1" applyAlignment="1" applyProtection="1">
      <alignment horizontal="right"/>
    </xf>
    <xf numFmtId="0" fontId="3" fillId="0" borderId="0" xfId="0" applyFont="1"/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9" fillId="0" borderId="0" xfId="0" applyFont="1"/>
    <xf numFmtId="4" fontId="0" fillId="0" borderId="0" xfId="0" applyNumberFormat="1"/>
    <xf numFmtId="2" fontId="0" fillId="0" borderId="0" xfId="0" applyNumberFormat="1"/>
    <xf numFmtId="0" fontId="11" fillId="0" borderId="0" xfId="0" applyFont="1"/>
    <xf numFmtId="0" fontId="8" fillId="5" borderId="17" xfId="0" applyFont="1" applyFill="1" applyBorder="1" applyAlignment="1">
      <alignment horizontal="center" vertical="center"/>
    </xf>
    <xf numFmtId="0" fontId="3" fillId="0" borderId="33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6" xfId="0" applyFont="1" applyBorder="1" applyAlignment="1">
      <alignment horizontal="right"/>
    </xf>
    <xf numFmtId="0" fontId="3" fillId="0" borderId="28" xfId="0" applyFont="1" applyBorder="1"/>
    <xf numFmtId="4" fontId="3" fillId="0" borderId="23" xfId="0" applyNumberFormat="1" applyFont="1" applyBorder="1"/>
    <xf numFmtId="0" fontId="3" fillId="0" borderId="9" xfId="0" applyFont="1" applyBorder="1" applyAlignment="1">
      <alignment horizontal="center" vertical="top"/>
    </xf>
    <xf numFmtId="0" fontId="3" fillId="0" borderId="18" xfId="0" applyFont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8" xfId="0" applyFont="1" applyBorder="1" applyAlignment="1">
      <alignment horizontal="center" vertical="top"/>
    </xf>
    <xf numFmtId="0" fontId="8" fillId="2" borderId="24" xfId="1" applyFont="1" applyBorder="1"/>
    <xf numFmtId="0" fontId="8" fillId="2" borderId="25" xfId="1" applyFont="1" applyBorder="1"/>
    <xf numFmtId="0" fontId="8" fillId="9" borderId="26" xfId="4" applyFont="1" applyBorder="1"/>
    <xf numFmtId="0" fontId="8" fillId="9" borderId="27" xfId="4" applyFont="1" applyBorder="1" applyAlignment="1">
      <alignment horizontal="center" vertical="center"/>
    </xf>
    <xf numFmtId="4" fontId="0" fillId="0" borderId="21" xfId="0" applyNumberFormat="1" applyBorder="1"/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4" fontId="0" fillId="0" borderId="17" xfId="0" applyNumberFormat="1" applyBorder="1"/>
    <xf numFmtId="164" fontId="0" fillId="0" borderId="28" xfId="0" applyNumberFormat="1" applyBorder="1"/>
    <xf numFmtId="165" fontId="0" fillId="0" borderId="0" xfId="0" applyNumberFormat="1"/>
    <xf numFmtId="2" fontId="1" fillId="3" borderId="42" xfId="2" applyNumberFormat="1" applyFont="1" applyBorder="1" applyAlignment="1" applyProtection="1">
      <alignment horizontal="right"/>
    </xf>
    <xf numFmtId="2" fontId="1" fillId="3" borderId="12" xfId="2" applyNumberFormat="1" applyFont="1" applyBorder="1" applyAlignment="1" applyProtection="1">
      <alignment horizontal="right"/>
    </xf>
    <xf numFmtId="2" fontId="1" fillId="7" borderId="43" xfId="2" applyNumberFormat="1" applyFont="1" applyFill="1" applyBorder="1" applyAlignment="1" applyProtection="1">
      <alignment horizontal="right"/>
    </xf>
    <xf numFmtId="2" fontId="1" fillId="3" borderId="43" xfId="2" applyNumberFormat="1" applyFont="1" applyBorder="1" applyAlignment="1" applyProtection="1">
      <alignment horizontal="right"/>
    </xf>
    <xf numFmtId="2" fontId="1" fillId="3" borderId="46" xfId="2" applyNumberFormat="1" applyFont="1" applyBorder="1" applyAlignment="1" applyProtection="1">
      <alignment horizontal="right"/>
    </xf>
    <xf numFmtId="0" fontId="0" fillId="0" borderId="18" xfId="0" applyBorder="1" applyAlignment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2" xfId="0" applyBorder="1" applyAlignment="1">
      <alignment horizontal="right"/>
    </xf>
    <xf numFmtId="0" fontId="1" fillId="2" borderId="47" xfId="1" applyNumberFormat="1" applyFont="1" applyBorder="1" applyAlignment="1" applyProtection="1">
      <alignment horizontal="right"/>
      <protection locked="0"/>
    </xf>
    <xf numFmtId="2" fontId="1" fillId="3" borderId="48" xfId="2" applyNumberFormat="1" applyFont="1" applyBorder="1" applyAlignment="1" applyProtection="1">
      <alignment horizontal="right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0" fontId="1" fillId="6" borderId="51" xfId="1" applyNumberFormat="1" applyFont="1" applyFill="1" applyBorder="1" applyAlignment="1" applyProtection="1">
      <alignment horizontal="right"/>
      <protection locked="0"/>
    </xf>
    <xf numFmtId="0" fontId="1" fillId="2" borderId="51" xfId="1" applyFont="1" applyBorder="1" applyAlignment="1">
      <alignment horizontal="right"/>
    </xf>
    <xf numFmtId="0" fontId="1" fillId="2" borderId="52" xfId="1" applyFont="1" applyBorder="1" applyAlignment="1">
      <alignment horizontal="right"/>
    </xf>
    <xf numFmtId="2" fontId="1" fillId="3" borderId="41" xfId="2" applyNumberFormat="1" applyFont="1" applyBorder="1" applyAlignment="1" applyProtection="1">
      <alignment horizontal="right"/>
    </xf>
    <xf numFmtId="2" fontId="1" fillId="7" borderId="14" xfId="2" applyNumberFormat="1" applyFont="1" applyFill="1" applyBorder="1" applyAlignment="1" applyProtection="1">
      <alignment horizontal="right"/>
    </xf>
    <xf numFmtId="0" fontId="3" fillId="0" borderId="0" xfId="0" applyFont="1" applyProtection="1">
      <protection locked="0"/>
    </xf>
    <xf numFmtId="2" fontId="3" fillId="0" borderId="0" xfId="0" applyNumberFormat="1" applyFon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0" fontId="3" fillId="0" borderId="0" xfId="0" applyFont="1" applyAlignment="1">
      <alignment vertical="center"/>
    </xf>
    <xf numFmtId="2" fontId="5" fillId="3" borderId="37" xfId="2" applyNumberFormat="1" applyFont="1" applyBorder="1" applyAlignment="1" applyProtection="1">
      <alignment horizontal="center"/>
    </xf>
    <xf numFmtId="2" fontId="5" fillId="3" borderId="38" xfId="2" applyNumberFormat="1" applyFont="1" applyBorder="1" applyAlignment="1" applyProtection="1">
      <alignment horizontal="center"/>
    </xf>
    <xf numFmtId="2" fontId="5" fillId="3" borderId="39" xfId="2" applyNumberFormat="1" applyFont="1" applyBorder="1" applyAlignment="1" applyProtection="1">
      <alignment horizontal="center"/>
    </xf>
    <xf numFmtId="2" fontId="5" fillId="3" borderId="29" xfId="2" applyNumberFormat="1" applyFont="1" applyBorder="1" applyAlignment="1" applyProtection="1">
      <alignment horizontal="center"/>
    </xf>
    <xf numFmtId="2" fontId="5" fillId="3" borderId="30" xfId="2" applyNumberFormat="1" applyFont="1" applyBorder="1" applyAlignment="1" applyProtection="1">
      <alignment horizontal="center"/>
    </xf>
    <xf numFmtId="2" fontId="5" fillId="3" borderId="34" xfId="2" applyNumberFormat="1" applyFont="1" applyBorder="1" applyAlignment="1" applyProtection="1">
      <alignment horizontal="center"/>
    </xf>
    <xf numFmtId="2" fontId="5" fillId="7" borderId="40" xfId="2" applyNumberFormat="1" applyFont="1" applyFill="1" applyBorder="1" applyAlignment="1" applyProtection="1">
      <alignment horizontal="center"/>
    </xf>
    <xf numFmtId="2" fontId="5" fillId="7" borderId="38" xfId="2" applyNumberFormat="1" applyFont="1" applyFill="1" applyBorder="1" applyAlignment="1" applyProtection="1">
      <alignment horizontal="center"/>
    </xf>
    <xf numFmtId="2" fontId="5" fillId="7" borderId="39" xfId="2" applyNumberFormat="1" applyFont="1" applyFill="1" applyBorder="1" applyAlignment="1" applyProtection="1">
      <alignment horizont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3" fillId="0" borderId="23" xfId="0" applyFont="1" applyBorder="1" applyAlignment="1">
      <alignment horizontal="center" vertical="center" textRotation="90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2" fontId="5" fillId="7" borderId="31" xfId="2" applyNumberFormat="1" applyFont="1" applyFill="1" applyBorder="1" applyAlignment="1" applyProtection="1">
      <alignment horizontal="center"/>
    </xf>
    <xf numFmtId="2" fontId="5" fillId="7" borderId="32" xfId="2" applyNumberFormat="1" applyFont="1" applyFill="1" applyBorder="1" applyAlignment="1" applyProtection="1">
      <alignment horizontal="center"/>
    </xf>
    <xf numFmtId="2" fontId="5" fillId="7" borderId="35" xfId="2" applyNumberFormat="1" applyFont="1" applyFill="1" applyBorder="1" applyAlignment="1" applyProtection="1">
      <alignment horizontal="center"/>
    </xf>
    <xf numFmtId="0" fontId="0" fillId="8" borderId="20" xfId="0" applyFill="1" applyBorder="1" applyAlignment="1">
      <alignment horizontal="right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0" fontId="1" fillId="6" borderId="50" xfId="1" applyNumberFormat="1" applyFont="1" applyFill="1" applyBorder="1" applyAlignment="1" applyProtection="1">
      <alignment horizontal="right"/>
      <protection locked="0"/>
    </xf>
    <xf numFmtId="2" fontId="1" fillId="7" borderId="44" xfId="2" applyNumberFormat="1" applyFont="1" applyFill="1" applyBorder="1" applyAlignment="1" applyProtection="1">
      <alignment horizontal="right"/>
    </xf>
    <xf numFmtId="2" fontId="1" fillId="7" borderId="45" xfId="2" applyNumberFormat="1" applyFont="1" applyFill="1" applyBorder="1" applyAlignment="1" applyProtection="1">
      <alignment horizontal="right"/>
    </xf>
    <xf numFmtId="2" fontId="1" fillId="7" borderId="12" xfId="2" applyNumberFormat="1" applyFont="1" applyFill="1" applyBorder="1" applyAlignment="1" applyProtection="1">
      <alignment horizontal="right"/>
    </xf>
    <xf numFmtId="2" fontId="1" fillId="7" borderId="13" xfId="2" applyNumberFormat="1" applyFont="1" applyFill="1" applyBorder="1" applyAlignment="1" applyProtection="1">
      <alignment horizontal="right"/>
    </xf>
    <xf numFmtId="0" fontId="0" fillId="0" borderId="20" xfId="0" applyBorder="1" applyAlignment="1">
      <alignment horizontal="right"/>
    </xf>
    <xf numFmtId="0" fontId="1" fillId="2" borderId="49" xfId="1" applyFont="1" applyBorder="1" applyAlignment="1">
      <alignment horizontal="right"/>
    </xf>
    <xf numFmtId="0" fontId="1" fillId="2" borderId="50" xfId="1" applyFont="1" applyBorder="1" applyAlignment="1">
      <alignment horizontal="right"/>
    </xf>
    <xf numFmtId="2" fontId="1" fillId="3" borderId="44" xfId="2" applyNumberFormat="1" applyFont="1" applyBorder="1" applyAlignment="1" applyProtection="1">
      <alignment horizontal="right"/>
    </xf>
    <xf numFmtId="2" fontId="1" fillId="3" borderId="45" xfId="2" applyNumberFormat="1" applyFont="1" applyBorder="1" applyAlignment="1" applyProtection="1">
      <alignment horizontal="right"/>
    </xf>
    <xf numFmtId="2" fontId="1" fillId="3" borderId="12" xfId="2" applyNumberFormat="1" applyFont="1" applyBorder="1" applyAlignment="1" applyProtection="1">
      <alignment horizontal="right"/>
    </xf>
    <xf numFmtId="2" fontId="1" fillId="3" borderId="13" xfId="2" applyNumberFormat="1" applyFont="1" applyBorder="1" applyAlignment="1" applyProtection="1">
      <alignment horizontal="right"/>
    </xf>
  </cellXfs>
  <cellStyles count="5">
    <cellStyle name="Ausgabe" xfId="4" builtinId="21"/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'Siebgrössen gefiltert'!$A$2:$A$30</c:f>
              <c:numCache>
                <c:formatCode>General</c:formatCode>
                <c:ptCount val="29"/>
                <c:pt idx="0">
                  <c:v>63</c:v>
                </c:pt>
                <c:pt idx="1">
                  <c:v>31.5</c:v>
                </c:pt>
                <c:pt idx="2">
                  <c:v>16</c:v>
                </c:pt>
                <c:pt idx="3">
                  <c:v>8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0.5</c:v>
                </c:pt>
                <c:pt idx="8">
                  <c:v>0.25</c:v>
                </c:pt>
                <c:pt idx="9">
                  <c:v>0.125</c:v>
                </c:pt>
                <c:pt idx="10">
                  <c:v>6.3E-2</c:v>
                </c:pt>
                <c:pt idx="11">
                  <c:v>0.05</c:v>
                </c:pt>
              </c:numCache>
            </c:numRef>
          </c:xVal>
          <c:yVal>
            <c:numRef>
              <c:f>'Siebgrössen gefiltert'!$B$2:$B$30</c:f>
              <c:numCache>
                <c:formatCode>0.00</c:formatCode>
                <c:ptCount val="29"/>
                <c:pt idx="0">
                  <c:v>96.2</c:v>
                </c:pt>
                <c:pt idx="1">
                  <c:v>91.5</c:v>
                </c:pt>
                <c:pt idx="2">
                  <c:v>88.4</c:v>
                </c:pt>
                <c:pt idx="3">
                  <c:v>80.400000000000006</c:v>
                </c:pt>
                <c:pt idx="4">
                  <c:v>74.099999999999994</c:v>
                </c:pt>
                <c:pt idx="5">
                  <c:v>66</c:v>
                </c:pt>
                <c:pt idx="6">
                  <c:v>60</c:v>
                </c:pt>
                <c:pt idx="7">
                  <c:v>51.9</c:v>
                </c:pt>
                <c:pt idx="8">
                  <c:v>47.9</c:v>
                </c:pt>
                <c:pt idx="9">
                  <c:v>37.799999999999997</c:v>
                </c:pt>
                <c:pt idx="10">
                  <c:v>20.6</c:v>
                </c:pt>
                <c:pt idx="11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C-4B20-AB4E-481F31BE2403}"/>
            </c:ext>
          </c:extLst>
        </c:ser>
        <c:ser>
          <c:idx val="1"/>
          <c:order val="1"/>
          <c:spPr>
            <a:ln w="9525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Siebkurve!$E$45:$E$47</c:f>
              <c:numCache>
                <c:formatCode>0.000</c:formatCode>
                <c:ptCount val="3"/>
                <c:pt idx="0">
                  <c:v>5.6005076142131981E-2</c:v>
                </c:pt>
                <c:pt idx="1">
                  <c:v>9.6883720930232564E-2</c:v>
                </c:pt>
                <c:pt idx="2">
                  <c:v>1</c:v>
                </c:pt>
              </c:numCache>
            </c:numRef>
          </c:xVal>
          <c:yVal>
            <c:numRef>
              <c:f>Siebkurve!$F$45:$F$47</c:f>
              <c:numCache>
                <c:formatCode>General</c:formatCode>
                <c:ptCount val="3"/>
                <c:pt idx="0">
                  <c:v>10</c:v>
                </c:pt>
                <c:pt idx="1">
                  <c:v>30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A3C-4B20-AB4E-481F31BE24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4279775"/>
        <c:axId val="614281695"/>
      </c:scatterChart>
      <c:valAx>
        <c:axId val="614279775"/>
        <c:scaling>
          <c:logBase val="2"/>
          <c:orientation val="minMax"/>
          <c:max val="125"/>
          <c:min val="1.0000000000000002E-3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crossBetween val="midCat"/>
      </c:valAx>
      <c:valAx>
        <c:axId val="614281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1505025</xdr:colOff>
      <xdr:row>5</xdr:row>
      <xdr:rowOff>235</xdr:rowOff>
    </xdr:from>
    <xdr:to>
      <xdr:col>31</xdr:col>
      <xdr:colOff>487680</xdr:colOff>
      <xdr:row>39</xdr:row>
      <xdr:rowOff>7033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20B89D4A-DFE9-A98E-1737-FDA75FDFC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1"/>
  <sheetViews>
    <sheetView tabSelected="1" zoomScale="85" zoomScaleNormal="85" workbookViewId="0">
      <selection activeCell="R48" sqref="R48"/>
    </sheetView>
  </sheetViews>
  <sheetFormatPr baseColWidth="10" defaultColWidth="8.77734375" defaultRowHeight="14.4" x14ac:dyDescent="0.3"/>
  <cols>
    <col min="1" max="1" width="5" customWidth="1"/>
    <col min="2" max="2" width="3.21875" customWidth="1"/>
    <col min="3" max="3" width="1.6640625" customWidth="1"/>
    <col min="4" max="4" width="15.21875" style="5" customWidth="1"/>
    <col min="5" max="5" width="17.88671875" bestFit="1" customWidth="1"/>
    <col min="6" max="6" width="18.21875" customWidth="1"/>
    <col min="7" max="8" width="22" customWidth="1"/>
  </cols>
  <sheetData>
    <row r="1" spans="1:18" ht="18.600000000000001" thickBot="1" x14ac:dyDescent="0.4">
      <c r="A1" s="1" t="s">
        <v>12</v>
      </c>
      <c r="B1" s="2"/>
      <c r="C1" s="2"/>
      <c r="D1" s="2"/>
      <c r="E1" s="3"/>
      <c r="F1" s="3"/>
      <c r="G1" s="3"/>
      <c r="H1" s="3"/>
      <c r="I1" s="3"/>
      <c r="J1" s="4" t="s">
        <v>9</v>
      </c>
    </row>
    <row r="2" spans="1:18" ht="15" thickBot="1" x14ac:dyDescent="0.35"/>
    <row r="3" spans="1:18" ht="15" thickBot="1" x14ac:dyDescent="0.35">
      <c r="C3" s="6"/>
      <c r="D3" s="7" t="s">
        <v>14</v>
      </c>
      <c r="E3" s="7" t="s">
        <v>20</v>
      </c>
      <c r="F3" s="7" t="s">
        <v>19</v>
      </c>
      <c r="G3" s="7" t="s">
        <v>21</v>
      </c>
      <c r="H3" s="8" t="s">
        <v>25</v>
      </c>
    </row>
    <row r="4" spans="1:18" ht="15" thickBot="1" x14ac:dyDescent="0.35">
      <c r="D4" s="23">
        <v>11950</v>
      </c>
      <c r="E4" s="24">
        <v>45</v>
      </c>
      <c r="F4" s="24">
        <v>15</v>
      </c>
      <c r="G4" s="25">
        <f>E4-F4</f>
        <v>30</v>
      </c>
      <c r="H4" s="26" t="str" cm="1">
        <f t="array" ref="H4">PunktInPolygon(E4, G4)</f>
        <v>CM,OL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5" thickBot="1" x14ac:dyDescent="0.3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thickBot="1" x14ac:dyDescent="0.35">
      <c r="C6" s="6"/>
      <c r="D6" s="13"/>
      <c r="E6" s="7" t="s">
        <v>15</v>
      </c>
      <c r="F6" s="7" t="s">
        <v>16</v>
      </c>
      <c r="G6" s="7" t="s">
        <v>17</v>
      </c>
      <c r="H6" s="8" t="s">
        <v>18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4" customHeight="1" x14ac:dyDescent="0.3">
      <c r="D7" s="77" t="str">
        <f>"Steine " &amp; TEXT(MAX(H7:H9) - MIN(H7:H9), "0.00") &amp; " %"</f>
        <v>Steine 0.00 %</v>
      </c>
      <c r="E7" s="42">
        <v>125</v>
      </c>
      <c r="F7" s="46"/>
      <c r="G7" s="37" t="str">
        <f t="shared" ref="G7" si="0">IF(AND(ISNUMBER(F7),F7&lt;&gt;0), 100/$D$4*F7, "-")</f>
        <v>-</v>
      </c>
      <c r="H7" s="47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4" customHeight="1" x14ac:dyDescent="0.3">
      <c r="D8" s="78"/>
      <c r="E8" s="43">
        <v>90</v>
      </c>
      <c r="F8" s="48"/>
      <c r="G8" s="39" t="str">
        <f>IF(AND(ISNUMBER(F8),F8&lt;&gt;0), 100/$D$4*F8, "-")</f>
        <v>-</v>
      </c>
      <c r="H8" s="53" t="str">
        <f>IF(ISNUMBER(G8), IF(ISNUMBER(H7), H7, IF(COUNT(H$7:H7)&gt;0, MIN(H$7:H7), 100)) - G8, "-")</f>
        <v>-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" customHeight="1" thickBot="1" x14ac:dyDescent="0.35">
      <c r="D9" s="79"/>
      <c r="E9" s="91">
        <v>63</v>
      </c>
      <c r="F9" s="92">
        <v>454</v>
      </c>
      <c r="G9" s="94">
        <f>IF(AND(ISNUMBER(F9),F9&lt;&gt;0), 100/$D$4*F9, "-")</f>
        <v>3.7991631799163175</v>
      </c>
      <c r="H9" s="96">
        <f>IF(ISNUMBER(G9), IF(ISNUMBER(H8), H8, IF(COUNT(H$7:H8)&gt;0, MIN(H$7:H8), 100)) - G9, "-")</f>
        <v>96.20083682008368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" customHeight="1" x14ac:dyDescent="0.3">
      <c r="B10" s="71" t="str">
        <f>"" &amp; TEXT(MAX(H9:H25) - MIN(H9:H25), "0.00") &amp; " %"</f>
        <v>75.58 %</v>
      </c>
      <c r="C10" s="72"/>
      <c r="D10" s="80" t="str">
        <f>"Kies " &amp; TEXT(MAX(H9:H19) - MIN(H9:H19), "0.00") &amp; " %"</f>
        <v>Kies 30.18 %</v>
      </c>
      <c r="E10" s="91"/>
      <c r="F10" s="93"/>
      <c r="G10" s="95"/>
      <c r="H10" s="97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4" customHeight="1" x14ac:dyDescent="0.3">
      <c r="B11" s="73"/>
      <c r="C11" s="74"/>
      <c r="D11" s="78"/>
      <c r="E11" s="43">
        <v>45</v>
      </c>
      <c r="F11" s="49"/>
      <c r="G11" s="39" t="str">
        <f t="shared" ref="G11:G19" si="1">IF(AND(ISNUMBER(F11),F11&lt;&gt;0), 100/$D$4*F11, "-")</f>
        <v>-</v>
      </c>
      <c r="H11" s="53" t="str">
        <f>IF(ISNUMBER(G11), IF(ISNUMBER(H10), H10, MIN(H$7:H10)) - G11, "-")</f>
        <v>-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4" customHeight="1" x14ac:dyDescent="0.3">
      <c r="B12" s="73"/>
      <c r="C12" s="74"/>
      <c r="D12" s="78"/>
      <c r="E12" s="44">
        <v>31.5</v>
      </c>
      <c r="F12" s="50">
        <v>567</v>
      </c>
      <c r="G12" s="40">
        <f t="shared" si="1"/>
        <v>4.7447698744769866</v>
      </c>
      <c r="H12" s="38">
        <f>IF(ISNUMBER(G12), IF(ISNUMBER(H11), H11, IF(COUNT(H$7:H11)&gt;0, MIN(H$7:H11), 100)) - G12, "-")</f>
        <v>91.456066945606693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4" customHeight="1" x14ac:dyDescent="0.3">
      <c r="B13" s="73"/>
      <c r="C13" s="74"/>
      <c r="D13" s="78"/>
      <c r="E13" s="43">
        <v>22.4</v>
      </c>
      <c r="F13" s="49"/>
      <c r="G13" s="39" t="str">
        <f>IF(AND(ISNUMBER(F13),F13&lt;&gt;0), 100/$D$4*F13, "-")</f>
        <v>-</v>
      </c>
      <c r="H13" s="53" t="str">
        <f>IF(ISNUMBER(G13), IF(ISNUMBER(H12), H12, IF(COUNT(H$7:H12)&gt;0, MIN(H$7:H12), 100)) - G13, "-")</f>
        <v>-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4" customHeight="1" x14ac:dyDescent="0.3">
      <c r="B14" s="73"/>
      <c r="C14" s="74"/>
      <c r="D14" s="78"/>
      <c r="E14" s="44">
        <v>16</v>
      </c>
      <c r="F14" s="50">
        <v>362</v>
      </c>
      <c r="G14" s="40">
        <f>IF(AND(ISNUMBER(F14),F14&lt;&gt;0), 100/$D$4*F14, "-")</f>
        <v>3.02928870292887</v>
      </c>
      <c r="H14" s="38">
        <f>IF(ISNUMBER(G14), IF(ISNUMBER(H13), H13, IF(COUNT(H$7:H13)&gt;0, MIN(H$7:H13), 100)) - G14, "-")</f>
        <v>88.426778242677827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4" customHeight="1" x14ac:dyDescent="0.3">
      <c r="B15" s="73"/>
      <c r="C15" s="74"/>
      <c r="D15" s="78"/>
      <c r="E15" s="43">
        <v>11.2</v>
      </c>
      <c r="F15" s="49"/>
      <c r="G15" s="39" t="str">
        <f t="shared" si="1"/>
        <v>-</v>
      </c>
      <c r="H15" s="53" t="str">
        <f>IF(ISNUMBER(G15), IF(ISNUMBER(H14), H14, IF(COUNT(H$7:H14)&gt;0, MIN(H$7:H14), 100)) - G15, "-")</f>
        <v>-</v>
      </c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4" customHeight="1" x14ac:dyDescent="0.35">
      <c r="B16" s="73"/>
      <c r="C16" s="74"/>
      <c r="D16" s="78"/>
      <c r="E16" s="44">
        <v>8</v>
      </c>
      <c r="F16" s="50">
        <v>964</v>
      </c>
      <c r="G16" s="40">
        <f t="shared" si="1"/>
        <v>8.06694560669456</v>
      </c>
      <c r="H16" s="38">
        <f>IF(ISNUMBER(G16), IF(ISNUMBER(H15), H15, IF(COUNT(H$7:H15)&gt;0, MIN(H$7:H15), 100)) - G16, "-")</f>
        <v>80.359832635983267</v>
      </c>
      <c r="I16" s="9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4" customHeight="1" x14ac:dyDescent="0.35">
      <c r="B17" s="73"/>
      <c r="C17" s="74"/>
      <c r="D17" s="78"/>
      <c r="E17" s="43">
        <v>5.6</v>
      </c>
      <c r="F17" s="49"/>
      <c r="G17" s="39" t="str">
        <f t="shared" si="1"/>
        <v>-</v>
      </c>
      <c r="H17" s="53" t="str">
        <f>IF(ISNUMBER(G17), IF(ISNUMBER(H16), H16, IF(COUNT(H$7:H16)&gt;0, MIN(H$7:H16), 100)) - G17, "-")</f>
        <v>-</v>
      </c>
      <c r="I17" s="9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4" customHeight="1" x14ac:dyDescent="0.35">
      <c r="B18" s="73"/>
      <c r="C18" s="74"/>
      <c r="D18" s="78"/>
      <c r="E18" s="44">
        <v>4</v>
      </c>
      <c r="F18" s="50">
        <v>750</v>
      </c>
      <c r="G18" s="40">
        <f t="shared" si="1"/>
        <v>6.2761506276150625</v>
      </c>
      <c r="H18" s="38">
        <f>IF(ISNUMBER(G18), IF(ISNUMBER(H17), H17, IF(COUNT(H$7:H17)&gt;0, MIN(H$7:H17), 100)) - G18, "-")</f>
        <v>74.0836820083682</v>
      </c>
      <c r="I18" s="9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" customHeight="1" thickBot="1" x14ac:dyDescent="0.4">
      <c r="B19" s="73"/>
      <c r="C19" s="74"/>
      <c r="D19" s="79"/>
      <c r="E19" s="84">
        <v>2</v>
      </c>
      <c r="F19" s="85">
        <v>964</v>
      </c>
      <c r="G19" s="87">
        <f t="shared" si="1"/>
        <v>8.06694560669456</v>
      </c>
      <c r="H19" s="89">
        <f>IF(ISNUMBER(G19), IF(ISNUMBER(H18), H18, IF(COUNT(H$7:H18)&gt;0, MIN(H$7:H18), 100)) - G19, "-")</f>
        <v>66.01673640167364</v>
      </c>
      <c r="I19" s="9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" customHeight="1" x14ac:dyDescent="0.35">
      <c r="B20" s="73"/>
      <c r="C20" s="74"/>
      <c r="D20" s="80" t="str">
        <f>"Sand " &amp; TEXT(MAX(H19:H25) - MIN(H19:H25), "0.00") &amp; " %"</f>
        <v>Sand 45.40 %</v>
      </c>
      <c r="E20" s="84"/>
      <c r="F20" s="86"/>
      <c r="G20" s="88"/>
      <c r="H20" s="90"/>
      <c r="I20" s="9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4" customHeight="1" x14ac:dyDescent="0.35">
      <c r="B21" s="73"/>
      <c r="C21" s="74"/>
      <c r="D21" s="78"/>
      <c r="E21" s="44">
        <v>1</v>
      </c>
      <c r="F21" s="50">
        <v>723</v>
      </c>
      <c r="G21" s="40">
        <f>IF(AND(ISNUMBER(F21),F21&lt;&gt;0), 100/$D$4*F21, "-")</f>
        <v>6.05020920502092</v>
      </c>
      <c r="H21" s="38">
        <f>IF(ISNUMBER(G21), IF(ISNUMBER(H20), H20, IF(COUNT(H$7:H20)&gt;0, MIN(H$7:H20), 100)) - G21, "-")</f>
        <v>59.96652719665272</v>
      </c>
      <c r="I21" s="9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4" customHeight="1" x14ac:dyDescent="0.35">
      <c r="B22" s="73"/>
      <c r="C22" s="74"/>
      <c r="D22" s="78"/>
      <c r="E22" s="43">
        <v>0.5</v>
      </c>
      <c r="F22" s="49">
        <v>964</v>
      </c>
      <c r="G22" s="39">
        <f>IF(AND(ISNUMBER(F22),F22&lt;&gt;0), 100/$D$4*F22, "-")</f>
        <v>8.06694560669456</v>
      </c>
      <c r="H22" s="53">
        <f>IF(ISNUMBER(G22), IF(ISNUMBER(H21), H21, IF(COUNT(H$7:H21)&gt;0, MIN(H$7:H21), 100)) - G22, "-")</f>
        <v>51.89958158995816</v>
      </c>
      <c r="I22" s="9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4" customHeight="1" x14ac:dyDescent="0.3">
      <c r="B23" s="73"/>
      <c r="C23" s="74"/>
      <c r="D23" s="78"/>
      <c r="E23" s="44">
        <v>0.25</v>
      </c>
      <c r="F23" s="50">
        <v>482</v>
      </c>
      <c r="G23" s="40">
        <f>IF(AND(ISNUMBER(F23),F23&lt;&gt;0), 100/$D$4*F23, "-")</f>
        <v>4.03347280334728</v>
      </c>
      <c r="H23" s="38">
        <f>IF(ISNUMBER(G23), IF(ISNUMBER(H22), H22, IF(COUNT(H$7:H22)&gt;0, MIN(H$7:H22), 100)) - G23, "-")</f>
        <v>47.86610878661088</v>
      </c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4" customHeight="1" x14ac:dyDescent="0.3">
      <c r="B24" s="73"/>
      <c r="C24" s="74"/>
      <c r="D24" s="78"/>
      <c r="E24" s="43">
        <v>0.125</v>
      </c>
      <c r="F24" s="49">
        <v>1208</v>
      </c>
      <c r="G24" s="39">
        <f>IF(AND(ISNUMBER(F24),F24&lt;&gt;0), 100/$D$4*F24, "-")</f>
        <v>10.10878661087866</v>
      </c>
      <c r="H24" s="53">
        <f>IF(ISNUMBER(G24), IF(ISNUMBER(H23), H23, IF(COUNT(H$7:H23)&gt;0, MIN(H$7:H23), 100)) - G24, "-")</f>
        <v>37.75732217573222</v>
      </c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7.2" customHeight="1" thickBot="1" x14ac:dyDescent="0.35">
      <c r="B25" s="75"/>
      <c r="C25" s="76"/>
      <c r="D25" s="79"/>
      <c r="E25" s="91">
        <v>6.3E-2</v>
      </c>
      <c r="F25" s="92">
        <v>2048</v>
      </c>
      <c r="G25" s="94">
        <f>IF(AND(ISNUMBER(F25),F25&lt;&gt;0), 100/$D$4*F25, "-")</f>
        <v>17.13807531380753</v>
      </c>
      <c r="H25" s="96">
        <f>IF(ISNUMBER(G25), IF(ISNUMBER(H24), H24, IF(COUNT(H$7:H24)&gt;0, MIN(H$7:H24), 100)) - G25, "-")</f>
        <v>20.61924686192469</v>
      </c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" customHeight="1" x14ac:dyDescent="0.3">
      <c r="B26" s="71" t="str">
        <f>"" &amp; TEXT(MAX(H25:H39) - MIN(H25:H39), "0.00") &amp; " %"</f>
        <v>19.72 %</v>
      </c>
      <c r="C26" s="72"/>
      <c r="D26" s="80" t="str">
        <f>"Silt " &amp; TEXT(MAX(H25:H37) - MIN(H25:H37), "0.00") &amp; " %"</f>
        <v>Silt 19.72 %</v>
      </c>
      <c r="E26" s="91"/>
      <c r="F26" s="93"/>
      <c r="G26" s="95"/>
      <c r="H26" s="97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14.4" customHeight="1" x14ac:dyDescent="0.3">
      <c r="B27" s="73"/>
      <c r="C27" s="74"/>
      <c r="D27" s="78"/>
      <c r="E27" s="43">
        <v>0.05</v>
      </c>
      <c r="F27" s="49">
        <v>2356</v>
      </c>
      <c r="G27" s="39">
        <f t="shared" ref="G27:G37" si="2">IF(AND(ISNUMBER(F27),F27&lt;&gt;0), 100/$D$4*F27, "-")</f>
        <v>19.715481171548117</v>
      </c>
      <c r="H27" s="53">
        <f>IF(ISNUMBER(G27), IF(ISNUMBER(H26), H26, IF(COUNT(H$7:H26)&gt;0, MIN(H$7:H26), 100)) - G27, "-")</f>
        <v>0.90376569037657362</v>
      </c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4" customHeight="1" x14ac:dyDescent="0.3">
      <c r="B28" s="73"/>
      <c r="C28" s="74"/>
      <c r="D28" s="78"/>
      <c r="E28" s="44">
        <v>0.04</v>
      </c>
      <c r="F28" s="50"/>
      <c r="G28" s="40" t="str">
        <f t="shared" si="2"/>
        <v>-</v>
      </c>
      <c r="H28" s="38" t="str">
        <f>IF(ISNUMBER(G28), IF(ISNUMBER(H27), H27, IF(COUNT(H$7:H27)&gt;0, MIN(H$7:H27), 100)) - G28, "-")</f>
        <v>-</v>
      </c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4" customHeight="1" x14ac:dyDescent="0.3">
      <c r="B29" s="73"/>
      <c r="C29" s="74"/>
      <c r="D29" s="78"/>
      <c r="E29" s="43">
        <v>0.03</v>
      </c>
      <c r="F29" s="49"/>
      <c r="G29" s="39" t="str">
        <f t="shared" si="2"/>
        <v>-</v>
      </c>
      <c r="H29" s="53" t="str">
        <f>IF(ISNUMBER(G29), IF(ISNUMBER(H28), H28, IF(COUNT(H$7:H28)&gt;0, MIN(H$7:H28), 100)) - G29, "-")</f>
        <v>-</v>
      </c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4" customHeight="1" x14ac:dyDescent="0.3">
      <c r="B30" s="73"/>
      <c r="C30" s="74"/>
      <c r="D30" s="78"/>
      <c r="E30" s="44">
        <v>0.02</v>
      </c>
      <c r="F30" s="50"/>
      <c r="G30" s="40" t="str">
        <f t="shared" si="2"/>
        <v>-</v>
      </c>
      <c r="H30" s="38" t="str">
        <f>IF(ISNUMBER(G30), IF(ISNUMBER(H29), H29, IF(COUNT(H$7:H29)&gt;0, MIN(H$7:H29), 100)) - G30, "-")</f>
        <v>-</v>
      </c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4" customHeight="1" x14ac:dyDescent="0.3">
      <c r="B31" s="73"/>
      <c r="C31" s="74"/>
      <c r="D31" s="78"/>
      <c r="E31" s="43">
        <v>1.4999999999999999E-2</v>
      </c>
      <c r="F31" s="49"/>
      <c r="G31" s="39" t="str">
        <f t="shared" si="2"/>
        <v>-</v>
      </c>
      <c r="H31" s="53" t="str">
        <f>IF(ISNUMBER(G31), IF(ISNUMBER(H30), H30, IF(COUNT(H$7:H30)&gt;0, MIN(H$7:H30), 100)) - G31, "-")</f>
        <v>-</v>
      </c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4" customHeight="1" x14ac:dyDescent="0.3">
      <c r="B32" s="73"/>
      <c r="C32" s="74"/>
      <c r="D32" s="78"/>
      <c r="E32" s="44">
        <v>0.01</v>
      </c>
      <c r="F32" s="50"/>
      <c r="G32" s="40" t="str">
        <f t="shared" si="2"/>
        <v>-</v>
      </c>
      <c r="H32" s="38" t="str">
        <f>IF(ISNUMBER(G32), IF(ISNUMBER(H31), H31, IF(COUNT(H$7:H31)&gt;0, MIN(H$7:H31), 100)) - G32, "-")</f>
        <v>-</v>
      </c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4" customHeight="1" x14ac:dyDescent="0.3">
      <c r="B33" s="73"/>
      <c r="C33" s="74"/>
      <c r="D33" s="78"/>
      <c r="E33" s="43">
        <v>8.0000000000000002E-3</v>
      </c>
      <c r="F33" s="49"/>
      <c r="G33" s="39" t="str">
        <f t="shared" si="2"/>
        <v>-</v>
      </c>
      <c r="H33" s="53" t="str">
        <f>IF(ISNUMBER(G33), IF(ISNUMBER(H32), H32, IF(COUNT(H$7:H32)&gt;0, MIN(H$7:H32), 100)) - G33, "-")</f>
        <v>-</v>
      </c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4" customHeight="1" x14ac:dyDescent="0.3">
      <c r="B34" s="73"/>
      <c r="C34" s="74"/>
      <c r="D34" s="78"/>
      <c r="E34" s="44">
        <v>6.0000000000000001E-3</v>
      </c>
      <c r="F34" s="50"/>
      <c r="G34" s="40" t="str">
        <f t="shared" si="2"/>
        <v>-</v>
      </c>
      <c r="H34" s="38" t="str">
        <f>IF(ISNUMBER(G34), IF(ISNUMBER(H33), H33, IF(COUNT(H$7:H33)&gt;0, MIN(H$7:H33), 100)) - G34, "-")</f>
        <v>-</v>
      </c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4" customHeight="1" x14ac:dyDescent="0.3">
      <c r="B35" s="73"/>
      <c r="C35" s="74"/>
      <c r="D35" s="78"/>
      <c r="E35" s="43">
        <v>4.0000000000000001E-3</v>
      </c>
      <c r="F35" s="49"/>
      <c r="G35" s="39" t="str">
        <f t="shared" si="2"/>
        <v>-</v>
      </c>
      <c r="H35" s="53" t="str">
        <f>IF(ISNUMBER(G35), IF(ISNUMBER(H34), H34, IF(COUNT(H$7:H34)&gt;0, MIN(H$7:H34), 100)) - G35, "-")</f>
        <v>-</v>
      </c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4" customHeight="1" x14ac:dyDescent="0.3">
      <c r="B36" s="73"/>
      <c r="C36" s="74"/>
      <c r="D36" s="78"/>
      <c r="E36" s="44">
        <v>3.0000000000000001E-3</v>
      </c>
      <c r="F36" s="50"/>
      <c r="G36" s="40" t="str">
        <f t="shared" si="2"/>
        <v>-</v>
      </c>
      <c r="H36" s="38" t="str">
        <f>IF(ISNUMBER(G36), IF(ISNUMBER(H35), H35, IF(COUNT(H$7:H35)&gt;0, MIN(H$7:H35), 100)) - G36, "-")</f>
        <v>-</v>
      </c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7.2" customHeight="1" thickBot="1" x14ac:dyDescent="0.35">
      <c r="B37" s="73"/>
      <c r="C37" s="74"/>
      <c r="D37" s="79"/>
      <c r="E37" s="84">
        <v>2E-3</v>
      </c>
      <c r="F37" s="85"/>
      <c r="G37" s="87" t="str">
        <f t="shared" si="2"/>
        <v>-</v>
      </c>
      <c r="H37" s="89" t="str">
        <f>IF(ISNUMBER(G37), IF(ISNUMBER(H36), H36, IF(COUNT(H$7:H36)&gt;0, MIN(H$7:H36), 100)) - G37, "-")</f>
        <v>-</v>
      </c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7.2" customHeight="1" x14ac:dyDescent="0.3">
      <c r="B38" s="73"/>
      <c r="C38" s="74"/>
      <c r="D38" s="80" t="str">
        <f>"Ton " &amp; TEXT(MAX(H37:H39) - MIN(H37:H39), "0.00") &amp; " %"</f>
        <v>Ton 0.00 %</v>
      </c>
      <c r="E38" s="84"/>
      <c r="F38" s="86"/>
      <c r="G38" s="88"/>
      <c r="H38" s="90"/>
    </row>
    <row r="39" spans="2:18" ht="14.4" customHeight="1" thickBot="1" x14ac:dyDescent="0.35">
      <c r="B39" s="75"/>
      <c r="C39" s="76"/>
      <c r="D39" s="79"/>
      <c r="E39" s="45">
        <v>1E-3</v>
      </c>
      <c r="F39" s="51"/>
      <c r="G39" s="41" t="str">
        <f>IF(AND(ISNUMBER(F39),F39&lt;&gt;0), 100/$D$4*F39, "-")</f>
        <v>-</v>
      </c>
      <c r="H39" s="52" t="str">
        <f>IF(ISNUMBER(G39), IF(ISNUMBER(H38), H38, IF(COUNT(H$7:H38)&gt;0, MIN(H$7:H38), 100)) - G39, "-")</f>
        <v>-</v>
      </c>
    </row>
    <row r="40" spans="2:18" x14ac:dyDescent="0.3">
      <c r="E40" s="22" t="s">
        <v>7</v>
      </c>
      <c r="F40">
        <f>SUM(F7:F39)</f>
        <v>11842</v>
      </c>
      <c r="G40" s="27">
        <f>SUM(G7:G39)</f>
        <v>99.096234309623426</v>
      </c>
    </row>
    <row r="41" spans="2:18" ht="15" thickBot="1" x14ac:dyDescent="0.35">
      <c r="E41" s="19" t="s">
        <v>8</v>
      </c>
      <c r="F41" s="17">
        <f>D4-F40</f>
        <v>108</v>
      </c>
      <c r="G41" s="18">
        <f>100-G40</f>
        <v>0.90376569037657362</v>
      </c>
      <c r="H41" t="s">
        <v>30</v>
      </c>
    </row>
    <row r="43" spans="2:18" ht="15" thickBot="1" x14ac:dyDescent="0.35"/>
    <row r="44" spans="2:18" ht="15" thickBot="1" x14ac:dyDescent="0.35">
      <c r="C44" s="6"/>
      <c r="D44" s="7"/>
      <c r="E44" s="7" t="s">
        <v>10</v>
      </c>
      <c r="F44" s="7" t="s">
        <v>11</v>
      </c>
      <c r="G44" s="7" t="s">
        <v>13</v>
      </c>
      <c r="H44" s="7"/>
      <c r="I44" s="7"/>
      <c r="J44" s="7"/>
      <c r="K44" s="7"/>
      <c r="L44" s="8"/>
    </row>
    <row r="45" spans="2:18" x14ac:dyDescent="0.3">
      <c r="D45" s="14" t="s">
        <v>0</v>
      </c>
      <c r="E45" s="28" cm="1">
        <f t="array" ref="E45">InterpolierteSieblinie(10,'Siebgrössen gefiltert'!A2:A30,'Siebgrössen gefiltert'!B2:B30)</f>
        <v>5.6005076142131981E-2</v>
      </c>
      <c r="F45" s="29">
        <v>10</v>
      </c>
      <c r="G45" s="62" t="str" cm="1">
        <f t="array" ref="G45">InterpolierteSieblinie_Rechnungsweg(10)</f>
        <v>0.063 + (10.000 - 20.600) * (0.050 - 0.063) / (0.900 - 20.600) = 0.056</v>
      </c>
      <c r="H45" s="63"/>
      <c r="I45" s="63"/>
      <c r="J45" s="63"/>
      <c r="K45" s="63"/>
      <c r="L45" s="64"/>
    </row>
    <row r="46" spans="2:18" x14ac:dyDescent="0.3">
      <c r="D46" s="15" t="s">
        <v>1</v>
      </c>
      <c r="E46" s="30" cm="1">
        <f t="array" ref="E46">InterpolierteSieblinie(30,'Siebgrössen gefiltert'!A2:A30,'Siebgrössen gefiltert'!B2:B30)</f>
        <v>9.6883720930232564E-2</v>
      </c>
      <c r="F46" s="31">
        <v>30</v>
      </c>
      <c r="G46" s="81" t="str" cm="1">
        <f t="array" ref="G46">InterpolierteSieblinie_Rechnungsweg(30)</f>
        <v>0.125 + (30.000 - 37.800) * (0.063 - 0.125) / (20.600 - 37.800) = 0.097</v>
      </c>
      <c r="H46" s="82"/>
      <c r="I46" s="82"/>
      <c r="J46" s="82"/>
      <c r="K46" s="82"/>
      <c r="L46" s="83"/>
    </row>
    <row r="47" spans="2:18" ht="15" thickBot="1" x14ac:dyDescent="0.35">
      <c r="D47" s="16" t="s">
        <v>2</v>
      </c>
      <c r="E47" s="32" cm="1">
        <f t="array" ref="E47">InterpolierteSieblinie(60,'Siebgrössen gefiltert'!A2:A30,'Siebgrössen gefiltert'!B2:B30)</f>
        <v>1</v>
      </c>
      <c r="F47" s="33">
        <v>60</v>
      </c>
      <c r="G47" s="59" t="str" cm="1">
        <f t="array" ref="G47">InterpolierteSieblinie_Rechnungsweg(60)</f>
        <v>2.000 + (60.000 - 66.000) * (1.000 - 2.000) / (60.000 - 66.000) = 1.000</v>
      </c>
      <c r="H47" s="60"/>
      <c r="I47" s="60"/>
      <c r="J47" s="60"/>
      <c r="K47" s="60"/>
      <c r="L47" s="61"/>
    </row>
    <row r="49" spans="3:8" ht="15" thickBot="1" x14ac:dyDescent="0.35"/>
    <row r="50" spans="3:8" ht="15" thickBot="1" x14ac:dyDescent="0.35">
      <c r="C50" s="68" t="s">
        <v>22</v>
      </c>
      <c r="D50" s="69"/>
      <c r="E50" s="69"/>
      <c r="F50" s="69"/>
      <c r="G50" s="69"/>
      <c r="H50" s="70"/>
    </row>
    <row r="51" spans="3:8" ht="15.6" x14ac:dyDescent="0.35">
      <c r="D51" s="20" t="s">
        <v>23</v>
      </c>
      <c r="E51" s="34">
        <f>E47/E45</f>
        <v>17.855524336082659</v>
      </c>
      <c r="F51" s="62" t="str">
        <f>IFERROR(ROUND(E47,2) &amp; " ÷ " &amp; ROUND(E45,2) &amp; " = " &amp; ROUND(E47/E45,3), "Fehler: Ungültige Werte")</f>
        <v>1 ÷ 0.06 = 17.856</v>
      </c>
      <c r="G51" s="63"/>
      <c r="H51" s="64"/>
    </row>
    <row r="52" spans="3:8" ht="16.2" thickBot="1" x14ac:dyDescent="0.4">
      <c r="D52" s="21" t="s">
        <v>24</v>
      </c>
      <c r="E52" s="35">
        <f>(E46^2)/(E45*E47)</f>
        <v>0.16760008249012737</v>
      </c>
      <c r="F52" s="65" t="str">
        <f>IFERROR("(" &amp; ROUND(E46,2) &amp; "²) ÷ (" &amp; ROUND(E45,2) &amp; " × " &amp; ROUND(E47,2) &amp; ") = " &amp; ROUND((E46^2)/(E45*E47),3), "Fehler: Ungültige Werte")</f>
        <v>(0.1²) ÷ (0.06 × 1) = 0.168</v>
      </c>
      <c r="G52" s="66"/>
      <c r="H52" s="67"/>
    </row>
    <row r="53" spans="3:8" x14ac:dyDescent="0.3">
      <c r="E53" s="36"/>
      <c r="F53" s="11"/>
    </row>
    <row r="54" spans="3:8" x14ac:dyDescent="0.3">
      <c r="E54" s="36"/>
      <c r="F54" s="11"/>
    </row>
    <row r="56" spans="3:8" x14ac:dyDescent="0.3">
      <c r="D56" s="5" t="s">
        <v>26</v>
      </c>
      <c r="E56" t="s">
        <v>28</v>
      </c>
    </row>
    <row r="57" spans="3:8" x14ac:dyDescent="0.3">
      <c r="D57" t="s">
        <v>27</v>
      </c>
      <c r="E57" s="11">
        <f>(MAX(H9:H25)-MIN(H9:H25))</f>
        <v>75.581589958158986</v>
      </c>
    </row>
    <row r="58" spans="3:8" x14ac:dyDescent="0.3">
      <c r="D58" t="s">
        <v>4</v>
      </c>
      <c r="E58" s="11">
        <f>(MAX(H9:H19)-MIN(H9:H19))</f>
        <v>30.18410041841004</v>
      </c>
    </row>
    <row r="59" spans="3:8" x14ac:dyDescent="0.3">
      <c r="D59" t="s">
        <v>5</v>
      </c>
      <c r="E59" s="11">
        <f>(MAX(H19:H25)-MIN(H19:H25))</f>
        <v>45.397489539748946</v>
      </c>
      <c r="F59" s="11"/>
      <c r="G59" s="11"/>
    </row>
    <row r="60" spans="3:8" x14ac:dyDescent="0.3">
      <c r="D60" t="s">
        <v>6</v>
      </c>
      <c r="E60" s="11">
        <f>MAX(H25:H39) - MIN(H25:H39)</f>
        <v>19.715481171548117</v>
      </c>
    </row>
    <row r="61" spans="3:8" x14ac:dyDescent="0.3">
      <c r="D61" t="s">
        <v>3</v>
      </c>
      <c r="E61" s="11">
        <f>(MAX(H7:H9)-MIN(H7:H9))</f>
        <v>0</v>
      </c>
    </row>
    <row r="62" spans="3:8" x14ac:dyDescent="0.3">
      <c r="E62" s="10">
        <f>SUM(E58:E61)</f>
        <v>95.297071129707106</v>
      </c>
    </row>
    <row r="64" spans="3:8" x14ac:dyDescent="0.3">
      <c r="E64" s="10" t="str">
        <f>IF(E57&gt;50, "Grobkörnig", "Feinkörnig")</f>
        <v>Grobkörnig</v>
      </c>
    </row>
    <row r="65" spans="4:7" x14ac:dyDescent="0.3">
      <c r="E65" t="str">
        <f>IF(E58 &gt; E59, "Kies", "Sand")</f>
        <v>Sand</v>
      </c>
    </row>
    <row r="67" spans="4:7" x14ac:dyDescent="0.3">
      <c r="D67" t="s">
        <v>29</v>
      </c>
      <c r="F67" s="58" t="str" cm="1">
        <f t="array" ref="F67">KlassifiziereKies(E60,E51,E52,H4,E59)</f>
        <v>GC - toniger Kies mit Sand</v>
      </c>
    </row>
    <row r="68" spans="4:7" x14ac:dyDescent="0.3">
      <c r="D68" t="s">
        <v>31</v>
      </c>
      <c r="F68" s="5" t="str" cm="1">
        <f t="array" ref="F68">KlassifiziereSand(E60,E51,E52,H4,E59)</f>
        <v>SC - toniger Sand mit Kies</v>
      </c>
    </row>
    <row r="71" spans="4:7" ht="18" x14ac:dyDescent="0.35">
      <c r="G71" s="9"/>
    </row>
  </sheetData>
  <mergeCells count="29">
    <mergeCell ref="F19:F20"/>
    <mergeCell ref="G19:G20"/>
    <mergeCell ref="H19:H20"/>
    <mergeCell ref="E19:E20"/>
    <mergeCell ref="E9:E10"/>
    <mergeCell ref="F9:F10"/>
    <mergeCell ref="G9:G10"/>
    <mergeCell ref="H9:H10"/>
    <mergeCell ref="D7:D9"/>
    <mergeCell ref="D10:D19"/>
    <mergeCell ref="B10:C25"/>
    <mergeCell ref="G45:L45"/>
    <mergeCell ref="G46:L46"/>
    <mergeCell ref="E37:E38"/>
    <mergeCell ref="F37:F38"/>
    <mergeCell ref="G37:G38"/>
    <mergeCell ref="H37:H38"/>
    <mergeCell ref="D38:D39"/>
    <mergeCell ref="D26:D37"/>
    <mergeCell ref="E25:E26"/>
    <mergeCell ref="F25:F26"/>
    <mergeCell ref="G25:G26"/>
    <mergeCell ref="H25:H26"/>
    <mergeCell ref="D20:D25"/>
    <mergeCell ref="G47:L47"/>
    <mergeCell ref="F51:H51"/>
    <mergeCell ref="F52:H52"/>
    <mergeCell ref="C50:H50"/>
    <mergeCell ref="B26:C39"/>
  </mergeCells>
  <conditionalFormatting sqref="G41">
    <cfRule type="cellIs" dxfId="1" priority="2" operator="lessThan">
      <formula>1</formula>
    </cfRule>
    <cfRule type="cellIs" dxfId="0" priority="1" operator="greater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G20" sqref="G20"/>
    </sheetView>
  </sheetViews>
  <sheetFormatPr baseColWidth="10" defaultRowHeight="14.4" x14ac:dyDescent="0.3"/>
  <cols>
    <col min="2" max="2" width="11.5546875" style="11"/>
    <col min="7" max="7" width="95.77734375" customWidth="1"/>
  </cols>
  <sheetData>
    <row r="1" spans="1:7" x14ac:dyDescent="0.3">
      <c r="A1" s="54" t="s">
        <v>10</v>
      </c>
      <c r="B1" s="55" t="s">
        <v>11</v>
      </c>
      <c r="E1" s="5"/>
      <c r="F1" s="5"/>
      <c r="G1" s="5"/>
    </row>
    <row r="2" spans="1:7" x14ac:dyDescent="0.3">
      <c r="A2" s="56">
        <v>63</v>
      </c>
      <c r="B2" s="57">
        <v>96.2</v>
      </c>
      <c r="D2" s="5"/>
      <c r="E2" s="10"/>
    </row>
    <row r="3" spans="1:7" x14ac:dyDescent="0.3">
      <c r="A3" s="56">
        <v>31.5</v>
      </c>
      <c r="B3" s="57">
        <v>91.5</v>
      </c>
      <c r="D3" s="5"/>
      <c r="E3" s="10"/>
    </row>
    <row r="4" spans="1:7" x14ac:dyDescent="0.3">
      <c r="A4" s="56">
        <v>16</v>
      </c>
      <c r="B4" s="57">
        <v>88.4</v>
      </c>
      <c r="D4" s="5"/>
      <c r="E4" s="10"/>
    </row>
    <row r="5" spans="1:7" x14ac:dyDescent="0.3">
      <c r="A5" s="56">
        <v>8</v>
      </c>
      <c r="B5" s="57">
        <v>80.400000000000006</v>
      </c>
    </row>
    <row r="6" spans="1:7" x14ac:dyDescent="0.3">
      <c r="A6" s="56">
        <v>4</v>
      </c>
      <c r="B6" s="57">
        <v>74.099999999999994</v>
      </c>
    </row>
    <row r="7" spans="1:7" x14ac:dyDescent="0.3">
      <c r="A7" s="56">
        <v>2</v>
      </c>
      <c r="B7" s="57">
        <v>66</v>
      </c>
      <c r="D7" s="5"/>
      <c r="F7" s="11"/>
    </row>
    <row r="8" spans="1:7" x14ac:dyDescent="0.3">
      <c r="A8" s="56">
        <v>1</v>
      </c>
      <c r="B8" s="57">
        <v>60</v>
      </c>
      <c r="D8" s="5"/>
      <c r="F8" s="11"/>
    </row>
    <row r="9" spans="1:7" x14ac:dyDescent="0.3">
      <c r="A9" s="56">
        <v>0.5</v>
      </c>
      <c r="B9" s="57">
        <v>51.9</v>
      </c>
    </row>
    <row r="10" spans="1:7" x14ac:dyDescent="0.3">
      <c r="A10" s="56">
        <v>0.25</v>
      </c>
      <c r="B10" s="57">
        <v>47.9</v>
      </c>
    </row>
    <row r="11" spans="1:7" x14ac:dyDescent="0.3">
      <c r="A11" s="56">
        <v>0.125</v>
      </c>
      <c r="B11" s="57">
        <v>37.799999999999997</v>
      </c>
    </row>
    <row r="12" spans="1:7" x14ac:dyDescent="0.3">
      <c r="A12" s="56">
        <v>6.3E-2</v>
      </c>
      <c r="B12" s="57">
        <v>20.6</v>
      </c>
    </row>
    <row r="13" spans="1:7" x14ac:dyDescent="0.3">
      <c r="A13" s="56">
        <v>0.05</v>
      </c>
      <c r="B13" s="57">
        <v>0.9</v>
      </c>
    </row>
    <row r="14" spans="1:7" x14ac:dyDescent="0.3">
      <c r="A14" s="56"/>
      <c r="B14" s="57"/>
    </row>
    <row r="15" spans="1:7" x14ac:dyDescent="0.3">
      <c r="A15" s="56"/>
      <c r="B15" s="57"/>
    </row>
    <row r="16" spans="1:7" x14ac:dyDescent="0.3">
      <c r="A16" s="56"/>
      <c r="B16" s="57"/>
    </row>
    <row r="17" spans="1:2" x14ac:dyDescent="0.3">
      <c r="A17" s="56"/>
      <c r="B17" s="57"/>
    </row>
    <row r="18" spans="1:2" x14ac:dyDescent="0.3">
      <c r="A18" s="56"/>
      <c r="B18" s="57"/>
    </row>
    <row r="19" spans="1:2" x14ac:dyDescent="0.3">
      <c r="A19" s="56"/>
      <c r="B19" s="57"/>
    </row>
    <row r="20" spans="1:2" x14ac:dyDescent="0.3">
      <c r="A20" s="56"/>
      <c r="B20" s="57"/>
    </row>
    <row r="21" spans="1:2" x14ac:dyDescent="0.3">
      <c r="A21" s="56"/>
      <c r="B21" s="57"/>
    </row>
    <row r="22" spans="1:2" x14ac:dyDescent="0.3">
      <c r="A22" s="56"/>
      <c r="B22" s="57"/>
    </row>
    <row r="23" spans="1:2" x14ac:dyDescent="0.3">
      <c r="A23" s="56"/>
      <c r="B23" s="57"/>
    </row>
    <row r="24" spans="1:2" x14ac:dyDescent="0.3">
      <c r="A24" s="56"/>
      <c r="B24" s="57"/>
    </row>
    <row r="25" spans="1:2" x14ac:dyDescent="0.3">
      <c r="A25" s="56"/>
      <c r="B25" s="57"/>
    </row>
    <row r="26" spans="1:2" x14ac:dyDescent="0.3">
      <c r="A26" s="56"/>
      <c r="B26" s="57"/>
    </row>
    <row r="27" spans="1:2" x14ac:dyDescent="0.3">
      <c r="A27" s="56"/>
      <c r="B27" s="57"/>
    </row>
    <row r="28" spans="1:2" x14ac:dyDescent="0.3">
      <c r="A28" s="56"/>
      <c r="B28" s="57"/>
    </row>
    <row r="29" spans="1:2" x14ac:dyDescent="0.3">
      <c r="A29" s="56"/>
      <c r="B29" s="57"/>
    </row>
    <row r="30" spans="1:2" x14ac:dyDescent="0.3">
      <c r="A30" s="56"/>
      <c r="B30" s="57"/>
    </row>
    <row r="31" spans="1:2" x14ac:dyDescent="0.3">
      <c r="A31" s="56"/>
      <c r="B31" s="57"/>
    </row>
    <row r="32" spans="1:2" x14ac:dyDescent="0.3">
      <c r="A32" s="56"/>
      <c r="B32" s="57"/>
    </row>
    <row r="33" spans="1:2" x14ac:dyDescent="0.3">
      <c r="A33" s="56"/>
      <c r="B33" s="57"/>
    </row>
    <row r="34" spans="1:2" x14ac:dyDescent="0.3">
      <c r="A34" s="56"/>
      <c r="B34" s="57"/>
    </row>
    <row r="35" spans="1:2" x14ac:dyDescent="0.3">
      <c r="A35" s="56"/>
      <c r="B35" s="5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 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2025-02-19T15:07:22Z</dcterms:modified>
</cp:coreProperties>
</file>