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429" codeName="{899C9086-67A9-5B14-2C2D-5A8001700F7D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Jerry\Documents\GitHub\Berechnungshilfen\Excel\"/>
    </mc:Choice>
  </mc:AlternateContent>
  <xr:revisionPtr revIDLastSave="0" documentId="13_ncr:1_{9049286F-7355-49CC-B0C7-23FDDFC65801}" xr6:coauthVersionLast="47" xr6:coauthVersionMax="47" xr10:uidLastSave="{00000000-0000-0000-0000-000000000000}"/>
  <bookViews>
    <workbookView xWindow="192" yWindow="144" windowWidth="45468" windowHeight="15636" xr2:uid="{00000000-000D-0000-FFFF-FFFF00000000}"/>
  </bookViews>
  <sheets>
    <sheet name="Siebkurve" sheetId="1" r:id="rId1"/>
    <sheet name="Siebgrössen_gefiltert" sheetId="2" r:id="rId2"/>
  </sheets>
  <functionGroups builtInGroupCount="19"/>
  <definedNames>
    <definedName name="_xleta.INDEX" hidden="1" xlm="1">#NAME?</definedName>
    <definedName name="_xleta.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8" i="1" l="1"/>
  <c r="H30" i="1"/>
  <c r="H31" i="1"/>
  <c r="H32" i="1"/>
  <c r="H33" i="1"/>
  <c r="H34" i="1"/>
  <c r="H28" i="1"/>
  <c r="H25" i="1"/>
  <c r="G24" i="1"/>
  <c r="G48" i="1" a="1"/>
  <c r="G47" i="1" a="1"/>
  <c r="G46" i="1" a="1"/>
  <c r="E48" i="1" a="1"/>
  <c r="E46" i="1" a="1"/>
  <c r="E47" i="1" a="1"/>
  <c r="G48" i="1" l="1"/>
  <c r="G47" i="1"/>
  <c r="G46" i="1"/>
  <c r="E48" i="1"/>
  <c r="E47" i="1"/>
  <c r="E46" i="1"/>
  <c r="G7" i="1"/>
  <c r="H7" i="1" s="1"/>
  <c r="G8" i="1"/>
  <c r="G9" i="1"/>
  <c r="G11" i="1"/>
  <c r="G12" i="1"/>
  <c r="G13" i="1"/>
  <c r="G14" i="1"/>
  <c r="G15" i="1"/>
  <c r="G16" i="1"/>
  <c r="G17" i="1"/>
  <c r="G18" i="1"/>
  <c r="G19" i="1"/>
  <c r="G21" i="1"/>
  <c r="G22" i="1"/>
  <c r="G23" i="1"/>
  <c r="G25" i="1"/>
  <c r="G26" i="1"/>
  <c r="H26" i="1" s="1"/>
  <c r="G28" i="1"/>
  <c r="G29" i="1"/>
  <c r="H29" i="1" s="1"/>
  <c r="G30" i="1"/>
  <c r="G31" i="1"/>
  <c r="G32" i="1"/>
  <c r="G33" i="1"/>
  <c r="G34" i="1"/>
  <c r="G35" i="1"/>
  <c r="H35" i="1" s="1"/>
  <c r="G36" i="1"/>
  <c r="H36" i="1" s="1"/>
  <c r="G37" i="1"/>
  <c r="H37" i="1" s="1"/>
  <c r="G38" i="1"/>
  <c r="G40" i="1"/>
  <c r="H8" i="1" l="1"/>
  <c r="H9" i="1" s="1"/>
  <c r="H11" i="1" s="1"/>
  <c r="H40" i="1"/>
  <c r="D39" i="1" s="1"/>
  <c r="H12" i="1" l="1"/>
  <c r="F52" i="1"/>
  <c r="E52" i="1"/>
  <c r="F53" i="1"/>
  <c r="E53" i="1"/>
  <c r="H13" i="1" l="1"/>
  <c r="H14" i="1" s="1"/>
  <c r="H15" i="1" s="1"/>
  <c r="H16" i="1" s="1"/>
  <c r="H17" i="1" s="1"/>
  <c r="F41" i="1"/>
  <c r="H18" i="1" l="1"/>
  <c r="H19" i="1" s="1"/>
  <c r="H21" i="1" s="1"/>
  <c r="H22" i="1" s="1"/>
  <c r="H23" i="1" s="1"/>
  <c r="H24" i="1" s="1"/>
  <c r="F42" i="1"/>
  <c r="G4" i="1"/>
  <c r="H4" i="1" a="1"/>
  <c r="G41" i="1" l="1"/>
  <c r="G42" i="1" s="1"/>
  <c r="H4" i="1"/>
  <c r="D67" i="1" s="1"/>
  <c r="D7" i="1" l="1"/>
  <c r="E62" i="1"/>
  <c r="E59" i="1" l="1"/>
  <c r="D10" i="1"/>
  <c r="E60" i="1" l="1"/>
  <c r="D66" i="1" s="1"/>
  <c r="E58" i="1"/>
  <c r="D65" i="1" s="1"/>
  <c r="B10" i="1"/>
  <c r="D20" i="1"/>
  <c r="E61" i="1"/>
  <c r="F71" i="1" a="1"/>
  <c r="F70" i="1" a="1"/>
  <c r="F71" i="1" l="1"/>
  <c r="F70" i="1"/>
  <c r="E63" i="1"/>
  <c r="D27" i="1"/>
  <c r="B2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<sst xmlns="http://schemas.openxmlformats.org/spreadsheetml/2006/main" count="37" uniqueCount="35">
  <si>
    <t>D10</t>
  </si>
  <si>
    <t>D30</t>
  </si>
  <si>
    <t>D60</t>
  </si>
  <si>
    <t>Steine</t>
  </si>
  <si>
    <t>Kies</t>
  </si>
  <si>
    <t>Sand</t>
  </si>
  <si>
    <t>Fein</t>
  </si>
  <si>
    <t>Total</t>
  </si>
  <si>
    <t>Verlust</t>
  </si>
  <si>
    <t>meile.jeremy@stud.bauschule.ch</t>
  </si>
  <si>
    <t>Siebgrösse</t>
  </si>
  <si>
    <t>Summe %</t>
  </si>
  <si>
    <t>Klassifikation von Lockergestein (USCS)</t>
  </si>
  <si>
    <t>Lösungsweg</t>
  </si>
  <si>
    <r>
      <t xml:space="preserve">Probe </t>
    </r>
    <r>
      <rPr>
        <sz val="11"/>
        <rFont val="Calibri"/>
        <family val="2"/>
        <scheme val="minor"/>
      </rPr>
      <t>(g)</t>
    </r>
  </si>
  <si>
    <r>
      <t xml:space="preserve">Siebgrösse </t>
    </r>
    <r>
      <rPr>
        <sz val="11"/>
        <rFont val="Calibri"/>
        <family val="2"/>
        <scheme val="minor"/>
      </rPr>
      <t>(mm)</t>
    </r>
  </si>
  <si>
    <r>
      <t xml:space="preserve">Rückstand </t>
    </r>
    <r>
      <rPr>
        <sz val="11"/>
        <rFont val="Calibri"/>
        <family val="2"/>
        <scheme val="minor"/>
      </rPr>
      <t>(g)</t>
    </r>
  </si>
  <si>
    <r>
      <t>Rückstand</t>
    </r>
    <r>
      <rPr>
        <sz val="11"/>
        <rFont val="Calibri"/>
        <family val="2"/>
        <scheme val="minor"/>
      </rPr>
      <t xml:space="preserve"> in %</t>
    </r>
  </si>
  <si>
    <r>
      <t>Summe</t>
    </r>
    <r>
      <rPr>
        <sz val="11"/>
        <rFont val="Calibri"/>
        <family val="2"/>
        <scheme val="minor"/>
      </rPr>
      <t xml:space="preserve"> in %</t>
    </r>
  </si>
  <si>
    <r>
      <t>WP</t>
    </r>
    <r>
      <rPr>
        <sz val="11"/>
        <rFont val="Calibri"/>
        <family val="2"/>
        <scheme val="minor"/>
      </rPr>
      <t xml:space="preserve"> in %</t>
    </r>
  </si>
  <si>
    <r>
      <t>WL</t>
    </r>
    <r>
      <rPr>
        <sz val="11"/>
        <rFont val="Calibri"/>
        <family val="2"/>
        <scheme val="minor"/>
      </rPr>
      <t xml:space="preserve"> in %</t>
    </r>
  </si>
  <si>
    <r>
      <t>IP</t>
    </r>
    <r>
      <rPr>
        <sz val="11"/>
        <rFont val="Calibri"/>
        <family val="2"/>
        <scheme val="minor"/>
      </rPr>
      <t xml:space="preserve"> in %</t>
    </r>
  </si>
  <si>
    <r>
      <t xml:space="preserve">Coefficient of Uniformity </t>
    </r>
    <r>
      <rPr>
        <sz val="9"/>
        <rFont val="Calibri"/>
        <family val="2"/>
        <scheme val="minor"/>
      </rPr>
      <t>(Ungleichförmigkeitszahl)</t>
    </r>
    <r>
      <rPr>
        <b/>
        <sz val="11"/>
        <rFont val="Calibri"/>
        <family val="2"/>
        <scheme val="minor"/>
      </rPr>
      <t xml:space="preserve"> &amp; Coefficient of Curvature</t>
    </r>
    <r>
      <rPr>
        <sz val="9"/>
        <rFont val="Calibri"/>
        <family val="2"/>
        <scheme val="minor"/>
      </rPr>
      <t xml:space="preserve"> (Krümmungskoeffizient)</t>
    </r>
  </si>
  <si>
    <r>
      <t xml:space="preserve">Plastizität </t>
    </r>
    <r>
      <rPr>
        <sz val="9"/>
        <color theme="1"/>
        <rFont val="Calibri"/>
        <family val="2"/>
        <scheme val="minor"/>
      </rPr>
      <t>(Automatisch)</t>
    </r>
  </si>
  <si>
    <t xml:space="preserve">Anteil </t>
  </si>
  <si>
    <t>Kies &amp; Sand</t>
  </si>
  <si>
    <t>%</t>
  </si>
  <si>
    <t>Klassifikationsdiagramm Kies:</t>
  </si>
  <si>
    <t>&lt; 1 %</t>
  </si>
  <si>
    <t>Klassifikationsdiagramm Sand:</t>
  </si>
  <si>
    <r>
      <t>Schlämmanalyse</t>
    </r>
    <r>
      <rPr>
        <sz val="11"/>
        <rFont val="Calibri"/>
        <family val="2"/>
        <scheme val="minor"/>
      </rPr>
      <t xml:space="preserve"> in %</t>
    </r>
  </si>
  <si>
    <t>Siebdurchgang</t>
  </si>
  <si>
    <t>Anteil</t>
  </si>
  <si>
    <r>
      <t>C</t>
    </r>
    <r>
      <rPr>
        <b/>
        <vertAlign val="subscript"/>
        <sz val="13"/>
        <color theme="1"/>
        <rFont val="Calibri"/>
        <family val="2"/>
        <scheme val="minor"/>
      </rPr>
      <t>UD</t>
    </r>
  </si>
  <si>
    <r>
      <t>C</t>
    </r>
    <r>
      <rPr>
        <b/>
        <vertAlign val="subscript"/>
        <sz val="13"/>
        <color theme="1"/>
        <rFont val="Calibri"/>
        <family val="2"/>
        <scheme val="minor"/>
      </rPr>
      <t>CD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</si>
</sst>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00"/>
    <numFmt numFmtId="166" formatCode="#,##0.000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3F3F3F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14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vertAlign val="subscript"/>
      <sz val="13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5B789"/>
        <bgColor indexed="64"/>
      </patternFill>
    </fill>
    <fill>
      <patternFill patternType="solid">
        <fgColor rgb="FFE5E5B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</patternFill>
    </fill>
  </fills>
  <borders count="5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B2B2B2"/>
      </left>
      <right style="medium">
        <color indexed="64"/>
      </right>
      <top style="thin">
        <color rgb="FFB2B2B2"/>
      </top>
      <bottom/>
      <diagonal/>
    </border>
    <border>
      <left style="thin">
        <color rgb="FFB2B2B2"/>
      </left>
      <right style="medium">
        <color indexed="64"/>
      </right>
      <top/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/>
      <top style="medium">
        <color indexed="64"/>
      </top>
      <bottom style="thin">
        <color rgb="FFB2B2B2"/>
      </bottom>
      <diagonal/>
    </border>
    <border>
      <left/>
      <right/>
      <top style="medium">
        <color indexed="64"/>
      </top>
      <bottom style="thin">
        <color rgb="FFB2B2B2"/>
      </bottom>
      <diagonal/>
    </border>
    <border>
      <left style="thin">
        <color rgb="FF7F7F7F"/>
      </left>
      <right/>
      <top style="thin">
        <color rgb="FFB2B2B2"/>
      </top>
      <bottom/>
      <diagonal/>
    </border>
    <border>
      <left/>
      <right/>
      <top style="thin">
        <color rgb="FFB2B2B2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rgb="FFB2B2B2"/>
      </bottom>
      <diagonal/>
    </border>
    <border>
      <left/>
      <right style="medium">
        <color indexed="64"/>
      </right>
      <top style="thin">
        <color rgb="FFB2B2B2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B2B2B2"/>
      </left>
      <right/>
      <top style="thin">
        <color rgb="FFB2B2B2"/>
      </top>
      <bottom style="medium">
        <color indexed="64"/>
      </bottom>
      <diagonal/>
    </border>
    <border>
      <left/>
      <right/>
      <top style="thin">
        <color rgb="FFB2B2B2"/>
      </top>
      <bottom style="medium">
        <color indexed="64"/>
      </bottom>
      <diagonal/>
    </border>
    <border>
      <left/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7F7F7F"/>
      </left>
      <right/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/>
      <diagonal/>
    </border>
    <border>
      <left style="medium">
        <color indexed="64"/>
      </left>
      <right style="thin">
        <color rgb="FFB2B2B2"/>
      </right>
      <top/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thin">
        <color rgb="FF7F7F7F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rgb="FF7F7F7F"/>
      </top>
      <bottom/>
      <diagonal/>
    </border>
    <border>
      <left style="medium">
        <color indexed="64"/>
      </left>
      <right/>
      <top/>
      <bottom style="thin">
        <color rgb="FF7F7F7F"/>
      </bottom>
      <diagonal/>
    </border>
    <border>
      <left style="medium">
        <color indexed="64"/>
      </left>
      <right/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0" fontId="2" fillId="2" borderId="1" applyNumberFormat="0" applyAlignment="0" applyProtection="0"/>
    <xf numFmtId="0" fontId="1" fillId="3" borderId="2" applyNumberFormat="0" applyFont="0" applyAlignment="0" applyProtection="0"/>
    <xf numFmtId="0" fontId="4" fillId="0" borderId="0" applyNumberFormat="0" applyFill="0" applyBorder="0" applyAlignment="0" applyProtection="0"/>
    <xf numFmtId="0" fontId="10" fillId="9" borderId="16" applyNumberFormat="0" applyAlignment="0" applyProtection="0"/>
  </cellStyleXfs>
  <cellXfs count="104">
    <xf numFmtId="0" fontId="0" fillId="0" borderId="0" xfId="0"/>
    <xf numFmtId="0" fontId="6" fillId="4" borderId="4" xfId="0" applyFont="1" applyFill="1" applyBorder="1" applyAlignment="1">
      <alignment horizontal="left"/>
    </xf>
    <xf numFmtId="0" fontId="6" fillId="4" borderId="5" xfId="0" applyFont="1" applyFill="1" applyBorder="1" applyAlignment="1">
      <alignment horizontal="center"/>
    </xf>
    <xf numFmtId="0" fontId="6" fillId="4" borderId="5" xfId="0" applyFont="1" applyFill="1" applyBorder="1"/>
    <xf numFmtId="0" fontId="7" fillId="4" borderId="6" xfId="3" applyFont="1" applyFill="1" applyBorder="1" applyAlignment="1" applyProtection="1">
      <alignment horizontal="right"/>
    </xf>
    <xf numFmtId="0" fontId="3" fillId="0" borderId="0" xfId="0" applyFont="1"/>
    <xf numFmtId="0" fontId="8" fillId="5" borderId="4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9" fillId="0" borderId="0" xfId="0" applyFont="1"/>
    <xf numFmtId="4" fontId="0" fillId="0" borderId="0" xfId="0" applyNumberFormat="1"/>
    <xf numFmtId="2" fontId="0" fillId="0" borderId="0" xfId="0" applyNumberFormat="1"/>
    <xf numFmtId="0" fontId="11" fillId="0" borderId="0" xfId="0" applyFont="1"/>
    <xf numFmtId="0" fontId="8" fillId="5" borderId="17" xfId="0" applyFont="1" applyFill="1" applyBorder="1" applyAlignment="1">
      <alignment horizontal="center" vertical="center"/>
    </xf>
    <xf numFmtId="0" fontId="3" fillId="0" borderId="33" xfId="0" applyFont="1" applyBorder="1" applyAlignment="1">
      <alignment horizontal="right"/>
    </xf>
    <xf numFmtId="0" fontId="3" fillId="8" borderId="10" xfId="0" applyFont="1" applyFill="1" applyBorder="1" applyAlignment="1">
      <alignment horizontal="right"/>
    </xf>
    <xf numFmtId="0" fontId="3" fillId="0" borderId="36" xfId="0" applyFont="1" applyBorder="1" applyAlignment="1">
      <alignment horizontal="right"/>
    </xf>
    <xf numFmtId="4" fontId="3" fillId="0" borderId="23" xfId="0" applyNumberFormat="1" applyFont="1" applyBorder="1"/>
    <xf numFmtId="0" fontId="8" fillId="2" borderId="24" xfId="1" applyFont="1" applyBorder="1"/>
    <xf numFmtId="0" fontId="8" fillId="2" borderId="25" xfId="1" applyFont="1" applyBorder="1"/>
    <xf numFmtId="0" fontId="8" fillId="9" borderId="26" xfId="4" applyFont="1" applyBorder="1"/>
    <xf numFmtId="0" fontId="8" fillId="9" borderId="27" xfId="4" applyFont="1" applyBorder="1" applyAlignment="1">
      <alignment horizontal="center" vertical="center"/>
    </xf>
    <xf numFmtId="164" fontId="0" fillId="0" borderId="11" xfId="0" applyNumberFormat="1" applyBorder="1" applyAlignment="1">
      <alignment horizontal="right"/>
    </xf>
    <xf numFmtId="0" fontId="0" fillId="0" borderId="11" xfId="0" applyBorder="1" applyAlignment="1">
      <alignment horizontal="right"/>
    </xf>
    <xf numFmtId="164" fontId="0" fillId="8" borderId="3" xfId="0" applyNumberFormat="1" applyFill="1" applyBorder="1" applyAlignment="1">
      <alignment horizontal="right"/>
    </xf>
    <xf numFmtId="0" fontId="0" fillId="8" borderId="3" xfId="0" applyFill="1" applyBorder="1" applyAlignment="1">
      <alignment horizontal="right"/>
    </xf>
    <xf numFmtId="164" fontId="0" fillId="0" borderId="15" xfId="0" applyNumberFormat="1" applyBorder="1" applyAlignment="1">
      <alignment horizontal="right"/>
    </xf>
    <xf numFmtId="0" fontId="0" fillId="0" borderId="15" xfId="0" applyBorder="1" applyAlignment="1">
      <alignment horizontal="right"/>
    </xf>
    <xf numFmtId="165" fontId="0" fillId="0" borderId="0" xfId="0" applyNumberFormat="1"/>
    <xf numFmtId="0" fontId="0" fillId="0" borderId="18" xfId="0" applyBorder="1" applyAlignment="1">
      <alignment horizontal="right"/>
    </xf>
    <xf numFmtId="0" fontId="0" fillId="8" borderId="20" xfId="0" applyFill="1" applyBorder="1" applyAlignment="1">
      <alignment horizontal="right"/>
    </xf>
    <xf numFmtId="0" fontId="0" fillId="0" borderId="20" xfId="0" applyBorder="1" applyAlignment="1">
      <alignment horizontal="right"/>
    </xf>
    <xf numFmtId="0" fontId="1" fillId="2" borderId="46" xfId="1" applyNumberFormat="1" applyFont="1" applyBorder="1" applyAlignment="1" applyProtection="1">
      <alignment horizontal="right"/>
      <protection locked="0"/>
    </xf>
    <xf numFmtId="0" fontId="1" fillId="6" borderId="48" xfId="1" applyNumberFormat="1" applyFont="1" applyFill="1" applyBorder="1" applyAlignment="1" applyProtection="1">
      <alignment horizontal="right"/>
      <protection locked="0"/>
    </xf>
    <xf numFmtId="0" fontId="1" fillId="6" borderId="50" xfId="1" applyNumberFormat="1" applyFont="1" applyFill="1" applyBorder="1" applyAlignment="1" applyProtection="1">
      <alignment horizontal="right"/>
      <protection locked="0"/>
    </xf>
    <xf numFmtId="0" fontId="1" fillId="2" borderId="50" xfId="1" applyFont="1" applyBorder="1" applyAlignment="1">
      <alignment horizontal="right"/>
    </xf>
    <xf numFmtId="0" fontId="3" fillId="0" borderId="0" xfId="0" applyFont="1" applyProtection="1">
      <protection locked="0"/>
    </xf>
    <xf numFmtId="0" fontId="0" fillId="0" borderId="0" xfId="0" applyProtection="1">
      <protection locked="0"/>
    </xf>
    <xf numFmtId="0" fontId="3" fillId="0" borderId="0" xfId="0" applyFont="1" applyAlignment="1">
      <alignment vertical="center"/>
    </xf>
    <xf numFmtId="0" fontId="1" fillId="2" borderId="48" xfId="1" applyFont="1" applyBorder="1" applyAlignment="1">
      <alignment horizontal="right"/>
    </xf>
    <xf numFmtId="0" fontId="11" fillId="2" borderId="51" xfId="1" applyFont="1" applyBorder="1" applyAlignment="1">
      <alignment horizontal="right"/>
    </xf>
    <xf numFmtId="0" fontId="11" fillId="6" borderId="51" xfId="1" applyNumberFormat="1" applyFont="1" applyFill="1" applyBorder="1" applyAlignment="1" applyProtection="1">
      <alignment horizontal="right"/>
      <protection locked="0"/>
    </xf>
    <xf numFmtId="0" fontId="11" fillId="2" borderId="54" xfId="1" applyFont="1" applyBorder="1" applyAlignment="1">
      <alignment horizontal="right"/>
    </xf>
    <xf numFmtId="2" fontId="11" fillId="3" borderId="42" xfId="2" applyNumberFormat="1" applyFont="1" applyBorder="1" applyAlignment="1" applyProtection="1">
      <alignment horizontal="right"/>
    </xf>
    <xf numFmtId="2" fontId="11" fillId="3" borderId="47" xfId="2" applyNumberFormat="1" applyFont="1" applyBorder="1" applyAlignment="1" applyProtection="1">
      <alignment horizontal="right"/>
    </xf>
    <xf numFmtId="2" fontId="11" fillId="7" borderId="43" xfId="2" applyNumberFormat="1" applyFont="1" applyFill="1" applyBorder="1" applyAlignment="1" applyProtection="1">
      <alignment horizontal="right"/>
    </xf>
    <xf numFmtId="2" fontId="11" fillId="7" borderId="14" xfId="2" applyNumberFormat="1" applyFont="1" applyFill="1" applyBorder="1" applyAlignment="1" applyProtection="1">
      <alignment horizontal="right"/>
    </xf>
    <xf numFmtId="2" fontId="11" fillId="3" borderId="12" xfId="2" applyNumberFormat="1" applyFont="1" applyBorder="1" applyAlignment="1" applyProtection="1">
      <alignment horizontal="right"/>
    </xf>
    <xf numFmtId="2" fontId="11" fillId="3" borderId="43" xfId="2" applyNumberFormat="1" applyFont="1" applyBorder="1" applyAlignment="1" applyProtection="1">
      <alignment horizontal="right"/>
    </xf>
    <xf numFmtId="2" fontId="11" fillId="7" borderId="44" xfId="2" applyNumberFormat="1" applyFont="1" applyFill="1" applyBorder="1" applyAlignment="1" applyProtection="1">
      <alignment horizontal="right"/>
    </xf>
    <xf numFmtId="2" fontId="11" fillId="7" borderId="41" xfId="2" applyNumberFormat="1" applyFont="1" applyFill="1" applyBorder="1" applyAlignment="1" applyProtection="1">
      <alignment horizontal="right"/>
    </xf>
    <xf numFmtId="0" fontId="8" fillId="5" borderId="18" xfId="0" applyFont="1" applyFill="1" applyBorder="1" applyAlignment="1">
      <alignment horizontal="center" vertical="center"/>
    </xf>
    <xf numFmtId="0" fontId="8" fillId="5" borderId="22" xfId="0" applyFont="1" applyFill="1" applyBorder="1" applyAlignment="1">
      <alignment horizontal="center" vertical="center"/>
    </xf>
    <xf numFmtId="4" fontId="0" fillId="0" borderId="56" xfId="0" applyNumberFormat="1" applyBorder="1"/>
    <xf numFmtId="4" fontId="0" fillId="0" borderId="55" xfId="0" applyNumberFormat="1" applyBorder="1"/>
    <xf numFmtId="4" fontId="3" fillId="0" borderId="22" xfId="0" applyNumberFormat="1" applyFont="1" applyBorder="1"/>
    <xf numFmtId="0" fontId="14" fillId="0" borderId="18" xfId="0" applyFont="1" applyBorder="1" applyAlignment="1">
      <alignment horizontal="right"/>
    </xf>
    <xf numFmtId="0" fontId="14" fillId="8" borderId="22" xfId="0" applyFont="1" applyFill="1" applyBorder="1" applyAlignment="1">
      <alignment horizontal="right"/>
    </xf>
    <xf numFmtId="166" fontId="0" fillId="0" borderId="17" xfId="0" applyNumberFormat="1" applyBorder="1"/>
    <xf numFmtId="166" fontId="0" fillId="8" borderId="28" xfId="0" applyNumberFormat="1" applyFill="1" applyBorder="1"/>
    <xf numFmtId="2" fontId="5" fillId="3" borderId="37" xfId="2" applyNumberFormat="1" applyFont="1" applyBorder="1" applyAlignment="1" applyProtection="1">
      <alignment horizontal="center"/>
    </xf>
    <xf numFmtId="2" fontId="5" fillId="3" borderId="38" xfId="2" applyNumberFormat="1" applyFont="1" applyBorder="1" applyAlignment="1" applyProtection="1">
      <alignment horizontal="center"/>
    </xf>
    <xf numFmtId="2" fontId="5" fillId="3" borderId="39" xfId="2" applyNumberFormat="1" applyFont="1" applyBorder="1" applyAlignment="1" applyProtection="1">
      <alignment horizontal="center"/>
    </xf>
    <xf numFmtId="2" fontId="5" fillId="3" borderId="29" xfId="2" applyNumberFormat="1" applyFont="1" applyBorder="1" applyAlignment="1" applyProtection="1">
      <alignment horizontal="center"/>
    </xf>
    <xf numFmtId="2" fontId="5" fillId="3" borderId="30" xfId="2" applyNumberFormat="1" applyFont="1" applyBorder="1" applyAlignment="1" applyProtection="1">
      <alignment horizontal="center"/>
    </xf>
    <xf numFmtId="2" fontId="5" fillId="3" borderId="34" xfId="2" applyNumberFormat="1" applyFont="1" applyBorder="1" applyAlignment="1" applyProtection="1">
      <alignment horizontal="center"/>
    </xf>
    <xf numFmtId="2" fontId="5" fillId="7" borderId="40" xfId="2" applyNumberFormat="1" applyFont="1" applyFill="1" applyBorder="1" applyAlignment="1" applyProtection="1">
      <alignment horizontal="center"/>
    </xf>
    <xf numFmtId="2" fontId="5" fillId="7" borderId="38" xfId="2" applyNumberFormat="1" applyFont="1" applyFill="1" applyBorder="1" applyAlignment="1" applyProtection="1">
      <alignment horizontal="center"/>
    </xf>
    <xf numFmtId="2" fontId="5" fillId="7" borderId="39" xfId="2" applyNumberFormat="1" applyFont="1" applyFill="1" applyBorder="1" applyAlignment="1" applyProtection="1">
      <alignment horizontal="center"/>
    </xf>
    <xf numFmtId="0" fontId="8" fillId="5" borderId="4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3" fillId="0" borderId="18" xfId="0" applyFont="1" applyBorder="1" applyAlignment="1">
      <alignment horizontal="center" vertical="center" textRotation="90"/>
    </xf>
    <xf numFmtId="0" fontId="3" fillId="0" borderId="19" xfId="0" applyFont="1" applyBorder="1" applyAlignment="1">
      <alignment horizontal="center" vertical="center" textRotation="90"/>
    </xf>
    <xf numFmtId="0" fontId="3" fillId="0" borderId="20" xfId="0" applyFont="1" applyBorder="1" applyAlignment="1">
      <alignment horizontal="center" vertical="center" textRotation="90"/>
    </xf>
    <xf numFmtId="0" fontId="3" fillId="0" borderId="21" xfId="0" applyFont="1" applyBorder="1" applyAlignment="1">
      <alignment horizontal="center" vertical="center" textRotation="90"/>
    </xf>
    <xf numFmtId="0" fontId="3" fillId="0" borderId="22" xfId="0" applyFont="1" applyBorder="1" applyAlignment="1">
      <alignment horizontal="center" vertical="center" textRotation="90"/>
    </xf>
    <xf numFmtId="0" fontId="3" fillId="0" borderId="23" xfId="0" applyFont="1" applyBorder="1" applyAlignment="1">
      <alignment horizontal="center" vertical="center" textRotation="90"/>
    </xf>
    <xf numFmtId="0" fontId="11" fillId="6" borderId="52" xfId="1" applyNumberFormat="1" applyFont="1" applyFill="1" applyBorder="1" applyAlignment="1" applyProtection="1">
      <alignment horizontal="right"/>
      <protection locked="0"/>
    </xf>
    <xf numFmtId="0" fontId="11" fillId="6" borderId="53" xfId="1" applyNumberFormat="1" applyFont="1" applyFill="1" applyBorder="1" applyAlignment="1" applyProtection="1">
      <alignment horizontal="right"/>
      <protection locked="0"/>
    </xf>
    <xf numFmtId="0" fontId="11" fillId="2" borderId="51" xfId="1" applyFont="1" applyBorder="1" applyAlignment="1">
      <alignment horizontal="right"/>
    </xf>
    <xf numFmtId="2" fontId="5" fillId="7" borderId="31" xfId="2" applyNumberFormat="1" applyFont="1" applyFill="1" applyBorder="1" applyAlignment="1" applyProtection="1">
      <alignment horizontal="center"/>
    </xf>
    <xf numFmtId="2" fontId="5" fillId="7" borderId="32" xfId="2" applyNumberFormat="1" applyFont="1" applyFill="1" applyBorder="1" applyAlignment="1" applyProtection="1">
      <alignment horizontal="center"/>
    </xf>
    <xf numFmtId="2" fontId="5" fillId="7" borderId="35" xfId="2" applyNumberFormat="1" applyFont="1" applyFill="1" applyBorder="1" applyAlignment="1" applyProtection="1">
      <alignment horizontal="center"/>
    </xf>
    <xf numFmtId="0" fontId="0" fillId="8" borderId="20" xfId="0" applyFill="1" applyBorder="1" applyAlignment="1">
      <alignment horizontal="right"/>
    </xf>
    <xf numFmtId="0" fontId="1" fillId="6" borderId="48" xfId="1" applyNumberFormat="1" applyFont="1" applyFill="1" applyBorder="1" applyAlignment="1" applyProtection="1">
      <alignment horizontal="right"/>
      <protection locked="0"/>
    </xf>
    <xf numFmtId="0" fontId="1" fillId="6" borderId="49" xfId="1" applyNumberFormat="1" applyFont="1" applyFill="1" applyBorder="1" applyAlignment="1" applyProtection="1">
      <alignment horizontal="right"/>
      <protection locked="0"/>
    </xf>
    <xf numFmtId="2" fontId="11" fillId="3" borderId="44" xfId="2" applyNumberFormat="1" applyFont="1" applyBorder="1" applyAlignment="1" applyProtection="1">
      <alignment horizontal="right"/>
    </xf>
    <xf numFmtId="2" fontId="11" fillId="3" borderId="45" xfId="2" applyNumberFormat="1" applyFont="1" applyBorder="1" applyAlignment="1" applyProtection="1">
      <alignment horizontal="right"/>
    </xf>
    <xf numFmtId="2" fontId="11" fillId="3" borderId="12" xfId="2" applyNumberFormat="1" applyFont="1" applyBorder="1" applyAlignment="1" applyProtection="1">
      <alignment horizontal="right"/>
    </xf>
    <xf numFmtId="2" fontId="11" fillId="3" borderId="13" xfId="2" applyNumberFormat="1" applyFont="1" applyBorder="1" applyAlignment="1" applyProtection="1">
      <alignment horizontal="right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0" fillId="0" borderId="20" xfId="0" applyBorder="1" applyAlignment="1">
      <alignment horizontal="right"/>
    </xf>
    <xf numFmtId="0" fontId="1" fillId="2" borderId="48" xfId="1" applyFont="1" applyBorder="1" applyAlignment="1">
      <alignment horizontal="right"/>
    </xf>
    <xf numFmtId="0" fontId="1" fillId="2" borderId="49" xfId="1" applyFont="1" applyBorder="1" applyAlignment="1">
      <alignment horizontal="right"/>
    </xf>
    <xf numFmtId="2" fontId="11" fillId="7" borderId="44" xfId="2" applyNumberFormat="1" applyFont="1" applyFill="1" applyBorder="1" applyAlignment="1" applyProtection="1">
      <alignment horizontal="right"/>
    </xf>
    <xf numFmtId="2" fontId="11" fillId="7" borderId="45" xfId="2" applyNumberFormat="1" applyFont="1" applyFill="1" applyBorder="1" applyAlignment="1" applyProtection="1">
      <alignment horizontal="right"/>
    </xf>
    <xf numFmtId="2" fontId="11" fillId="7" borderId="12" xfId="2" applyNumberFormat="1" applyFont="1" applyFill="1" applyBorder="1" applyAlignment="1" applyProtection="1">
      <alignment horizontal="right"/>
    </xf>
    <xf numFmtId="2" fontId="11" fillId="7" borderId="13" xfId="2" applyNumberFormat="1" applyFont="1" applyFill="1" applyBorder="1" applyAlignment="1" applyProtection="1">
      <alignment horizontal="right"/>
    </xf>
    <xf numFmtId="2" fontId="3" fillId="0" borderId="7" xfId="0" applyNumberFormat="1" applyFont="1" applyBorder="1" applyAlignment="1">
      <alignment horizontal="center" vertical="center" wrapText="1"/>
    </xf>
    <xf numFmtId="0" fontId="8" fillId="5" borderId="7" xfId="0" applyFont="1" applyFill="1" applyBorder="1" applyAlignment="1">
      <alignment horizontal="center" vertical="center" wrapText="1"/>
    </xf>
    <xf numFmtId="0" fontId="8" fillId="5" borderId="9" xfId="0" applyFont="1" applyFill="1" applyBorder="1" applyAlignment="1">
      <alignment horizontal="center" vertical="center" wrapText="1"/>
    </xf>
  </cellXfs>
  <cellStyles count="5">
    <cellStyle name="Ausgabe" xfId="4" builtinId="21"/>
    <cellStyle name="Eingabe" xfId="1" builtinId="20"/>
    <cellStyle name="Link" xfId="3" builtinId="8"/>
    <cellStyle name="Notiz" xfId="2" builtinId="10"/>
    <cellStyle name="Standard" xfId="0" builtinId="0"/>
  </cellStyles>
  <dxfs count="2">
    <dxf>
      <font>
        <color theme="6" tint="-0.499984740745262"/>
      </font>
      <fill>
        <patternFill>
          <bgColor theme="6" tint="0.7999816888943144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de-DE">
                <a:solidFill>
                  <a:schemeClr val="tx1"/>
                </a:solidFill>
              </a:rPr>
              <a:t>Siebkurve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Siebdaten</c:v>
          </c:tx>
          <c:spPr>
            <a:ln w="9525" cap="rnd">
              <a:solidFill>
                <a:schemeClr val="tx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solidFill>
                <a:schemeClr val="tx1"/>
              </a:solidFill>
              <a:ln w="9525">
                <a:noFill/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chemeClr val="tx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95.4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A427-41D9-BCAD-EFCCC18BFB6F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chemeClr val="tx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90.2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A427-41D9-BCAD-EFCCC18BFB6F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chemeClr val="tx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82.6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A427-41D9-BCAD-EFCCC18BFB6F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chemeClr val="tx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76.6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A427-41D9-BCAD-EFCCC18BFB6F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chemeClr val="tx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68.7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A427-41D9-BCAD-EFCCC18BFB6F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chemeClr val="tx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A427-41D9-BCAD-EFCCC18BFB6F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chemeClr val="tx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A427-41D9-BCAD-EFCCC18BFB6F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chemeClr val="tx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42.8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A427-41D9-BCAD-EFCCC18BFB6F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chemeClr val="tx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36.5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A427-41D9-BCAD-EFCCC18BFB6F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chemeClr val="tx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32.5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A427-41D9-BCAD-EFCCC18BFB6F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chemeClr val="tx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25.9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A427-41D9-BCAD-EFCCC18BFB6F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chemeClr val="tx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20.7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A427-41D9-BCAD-EFCCC18BFB6F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chemeClr val="tx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A427-41D9-BCAD-EFCCC18BFB6F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chemeClr val="tx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11.6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A427-41D9-BCAD-EFCCC18BFB6F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chemeClr val="tx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10.7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A427-41D9-BCAD-EFCCC18BFB6F}"/>
                </c:ext>
              </c:extLst>
            </c:dLbl>
            <c:dLbl>
              <c:idx val="1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chemeClr val="tx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11.6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A427-41D9-BCAD-EFCCC18BFB6F}"/>
                </c:ext>
              </c:extLst>
            </c:dLbl>
            <c:dLbl>
              <c:idx val="1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chemeClr val="tx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8.1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A427-41D9-BCAD-EFCCC18BFB6F}"/>
                </c:ext>
              </c:extLst>
            </c:dLbl>
            <c:dLbl>
              <c:idx val="1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chemeClr val="tx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2.6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A427-41D9-BCAD-EFCCC18BFB6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Siebgrössen_gefiltert!$A$2:$A$19</c:f>
              <c:numCache>
                <c:formatCode>General</c:formatCode>
                <c:ptCount val="18"/>
                <c:pt idx="0">
                  <c:v>90</c:v>
                </c:pt>
                <c:pt idx="1">
                  <c:v>63</c:v>
                </c:pt>
                <c:pt idx="2">
                  <c:v>45</c:v>
                </c:pt>
                <c:pt idx="3">
                  <c:v>31.5</c:v>
                </c:pt>
                <c:pt idx="4">
                  <c:v>22.4</c:v>
                </c:pt>
                <c:pt idx="5">
                  <c:v>16</c:v>
                </c:pt>
                <c:pt idx="6">
                  <c:v>11.2</c:v>
                </c:pt>
                <c:pt idx="7">
                  <c:v>8</c:v>
                </c:pt>
                <c:pt idx="8">
                  <c:v>5.6</c:v>
                </c:pt>
                <c:pt idx="9">
                  <c:v>4</c:v>
                </c:pt>
                <c:pt idx="10">
                  <c:v>2</c:v>
                </c:pt>
                <c:pt idx="11">
                  <c:v>1</c:v>
                </c:pt>
                <c:pt idx="12">
                  <c:v>0.5</c:v>
                </c:pt>
                <c:pt idx="13">
                  <c:v>0.25</c:v>
                </c:pt>
                <c:pt idx="14">
                  <c:v>0.2</c:v>
                </c:pt>
                <c:pt idx="15">
                  <c:v>0.05</c:v>
                </c:pt>
                <c:pt idx="16">
                  <c:v>0.02</c:v>
                </c:pt>
                <c:pt idx="17">
                  <c:v>2E-3</c:v>
                </c:pt>
              </c:numCache>
            </c:numRef>
          </c:cat>
          <c:val>
            <c:numLit>
              <c:formatCode>General</c:formatCode>
              <c:ptCount val="18"/>
              <c:pt idx="0">
                <c:v>95.4</c:v>
              </c:pt>
              <c:pt idx="1">
                <c:v>90.2</c:v>
              </c:pt>
              <c:pt idx="2">
                <c:v>82.6</c:v>
              </c:pt>
              <c:pt idx="3">
                <c:v>76.599999999999994</c:v>
              </c:pt>
              <c:pt idx="4">
                <c:v>68.7</c:v>
              </c:pt>
              <c:pt idx="5">
                <c:v>59</c:v>
              </c:pt>
              <c:pt idx="6">
                <c:v>50</c:v>
              </c:pt>
              <c:pt idx="7">
                <c:v>42.8</c:v>
              </c:pt>
              <c:pt idx="8">
                <c:v>36.5</c:v>
              </c:pt>
              <c:pt idx="9">
                <c:v>32.5</c:v>
              </c:pt>
              <c:pt idx="10">
                <c:v>25.9</c:v>
              </c:pt>
              <c:pt idx="11">
                <c:v>20.7</c:v>
              </c:pt>
              <c:pt idx="12">
                <c:v>16</c:v>
              </c:pt>
              <c:pt idx="13">
                <c:v>11.6</c:v>
              </c:pt>
              <c:pt idx="14">
                <c:v>10.7</c:v>
              </c:pt>
              <c:pt idx="15">
                <c:v>11.6</c:v>
              </c:pt>
              <c:pt idx="16">
                <c:v>8.1</c:v>
              </c:pt>
              <c:pt idx="17">
                <c:v>2.6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A427-41D9-BCAD-EFCCC18BFB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4279775"/>
        <c:axId val="614281695"/>
      </c:lineChart>
      <c:catAx>
        <c:axId val="614279775"/>
        <c:scaling>
          <c:logBase val="2"/>
          <c:orientation val="maxMin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b" anchorCtr="1"/>
              <a:lstStyle/>
              <a:p>
                <a:pPr>
                  <a:defRPr sz="900" b="1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>
                    <a:ln>
                      <a:noFill/>
                    </a:ln>
                    <a:solidFill>
                      <a:schemeClr val="tx1"/>
                    </a:solidFill>
                  </a:rPr>
                  <a:t>Siebgrösse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b" anchorCtr="1"/>
            <a:lstStyle/>
            <a:p>
              <a:pPr>
                <a:defRPr sz="900" b="1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0"/>
        <c:majorTickMark val="in"/>
        <c:minorTickMark val="none"/>
        <c:tickLblPos val="low"/>
        <c:spPr>
          <a:noFill/>
          <a:ln w="9525" cap="flat" cmpd="sng" algn="ctr">
            <a:solidFill>
              <a:schemeClr val="tx2">
                <a:lumMod val="40000"/>
                <a:lumOff val="6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4281695"/>
        <c:crosses val="autoZero"/>
        <c:auto val="0"/>
        <c:lblAlgn val="ctr"/>
        <c:lblOffset val="100"/>
        <c:noMultiLvlLbl val="0"/>
      </c:catAx>
      <c:valAx>
        <c:axId val="614281695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@" sourceLinked="0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4279775"/>
        <c:crosses val="max"/>
        <c:crossBetween val="midCat"/>
        <c:majorUnit val="10"/>
        <c:minorUnit val="2"/>
      </c:valAx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158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281940</xdr:colOff>
      <xdr:row>4</xdr:row>
      <xdr:rowOff>144780</xdr:rowOff>
    </xdr:from>
    <xdr:to>
      <xdr:col>35</xdr:col>
      <xdr:colOff>304800</xdr:colOff>
      <xdr:row>39</xdr:row>
      <xdr:rowOff>142613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9782EBFB-94CF-4A4F-981B-74705EC4A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eile.jeremy@stud.bauschule.ch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R74"/>
  <sheetViews>
    <sheetView showGridLines="0" tabSelected="1" topLeftCell="E3" zoomScaleNormal="100" workbookViewId="0">
      <selection activeCell="AK17" sqref="AK17"/>
    </sheetView>
  </sheetViews>
  <sheetFormatPr baseColWidth="10" defaultColWidth="8.77734375" defaultRowHeight="14.4" x14ac:dyDescent="0.3"/>
  <cols>
    <col min="1" max="1" width="5" customWidth="1"/>
    <col min="2" max="2" width="3.109375" customWidth="1"/>
    <col min="3" max="3" width="1.6640625" customWidth="1"/>
    <col min="4" max="4" width="15.109375" style="5" customWidth="1"/>
    <col min="5" max="5" width="17.77734375" bestFit="1" customWidth="1"/>
    <col min="6" max="6" width="18.109375" customWidth="1"/>
    <col min="7" max="8" width="22" customWidth="1"/>
    <col min="9" max="9" width="16.77734375" customWidth="1"/>
  </cols>
  <sheetData>
    <row r="1" spans="1:18" ht="18.600000000000001" thickBot="1" x14ac:dyDescent="0.4">
      <c r="A1" s="1" t="s">
        <v>12</v>
      </c>
      <c r="B1" s="2"/>
      <c r="C1" s="2"/>
      <c r="D1" s="2"/>
      <c r="E1" s="3"/>
      <c r="F1" s="3"/>
      <c r="G1" s="3"/>
      <c r="H1" s="3"/>
      <c r="I1" s="3"/>
      <c r="J1" s="4" t="s">
        <v>9</v>
      </c>
    </row>
    <row r="2" spans="1:18" ht="15" thickBot="1" x14ac:dyDescent="0.35"/>
    <row r="3" spans="1:18" ht="15" thickBot="1" x14ac:dyDescent="0.35">
      <c r="C3" s="6"/>
      <c r="D3" s="7" t="s">
        <v>14</v>
      </c>
      <c r="E3" s="7" t="s">
        <v>20</v>
      </c>
      <c r="F3" s="7" t="s">
        <v>19</v>
      </c>
      <c r="G3" s="7" t="s">
        <v>21</v>
      </c>
      <c r="H3" s="8" t="s">
        <v>23</v>
      </c>
    </row>
    <row r="4" spans="1:18" ht="15" thickBot="1" x14ac:dyDescent="0.35">
      <c r="D4" s="18">
        <v>26790</v>
      </c>
      <c r="E4" s="19">
        <v>22</v>
      </c>
      <c r="F4" s="19">
        <v>13.6</v>
      </c>
      <c r="G4" s="20">
        <f>E4-F4</f>
        <v>8.4</v>
      </c>
      <c r="H4" s="21" t="str" cm="1">
        <f t="array" ref="H4">PunktInPolygon(E4, G4)</f>
        <v>CL,OL</v>
      </c>
      <c r="J4" s="12"/>
      <c r="K4" s="12"/>
      <c r="L4" s="12"/>
      <c r="M4" s="12"/>
      <c r="N4" s="12"/>
      <c r="O4" s="12"/>
      <c r="P4" s="12"/>
      <c r="Q4" s="12"/>
      <c r="R4" s="12"/>
    </row>
    <row r="5" spans="1:18" ht="15" thickBot="1" x14ac:dyDescent="0.35">
      <c r="I5" s="12"/>
      <c r="J5" s="12"/>
      <c r="K5" s="12"/>
      <c r="L5" s="12"/>
      <c r="M5" s="12"/>
      <c r="N5" s="12"/>
      <c r="O5" s="12"/>
      <c r="P5" s="12"/>
      <c r="Q5" s="12"/>
      <c r="R5" s="12"/>
    </row>
    <row r="6" spans="1:18" ht="15" thickBot="1" x14ac:dyDescent="0.35">
      <c r="C6" s="6"/>
      <c r="D6" s="13" t="s">
        <v>32</v>
      </c>
      <c r="E6" s="7" t="s">
        <v>15</v>
      </c>
      <c r="F6" s="7" t="s">
        <v>16</v>
      </c>
      <c r="G6" s="7" t="s">
        <v>17</v>
      </c>
      <c r="H6" s="8" t="s">
        <v>18</v>
      </c>
      <c r="J6" s="12"/>
      <c r="K6" s="12"/>
      <c r="L6" s="12"/>
      <c r="M6" s="12"/>
      <c r="N6" s="12"/>
      <c r="O6" s="12"/>
      <c r="P6" s="12"/>
      <c r="Q6" s="12"/>
      <c r="R6" s="12"/>
    </row>
    <row r="7" spans="1:18" ht="14.55" customHeight="1" x14ac:dyDescent="0.3">
      <c r="D7" s="101" t="str">
        <f>"Steine " &amp; TEXT(MAX(H7:H9) - MIN(H7:H9), "0.00") &amp; " %"</f>
        <v>Steine 5.23 %</v>
      </c>
      <c r="E7" s="29">
        <v>125</v>
      </c>
      <c r="F7" s="32"/>
      <c r="G7" s="43" t="str">
        <f t="shared" ref="G7" si="0">IF(AND(ISNUMBER(F7),F7&lt;&gt;0), 100/$D$4*F7, "-")</f>
        <v>-</v>
      </c>
      <c r="H7" s="44" t="str">
        <f>IF(ISNUMBER(G7), 100 - G7, "-")</f>
        <v>-</v>
      </c>
      <c r="J7" s="12"/>
      <c r="K7" s="12"/>
      <c r="L7" s="12"/>
      <c r="M7" s="12"/>
      <c r="N7" s="12"/>
      <c r="O7" s="12"/>
      <c r="P7" s="12"/>
      <c r="Q7" s="12"/>
      <c r="R7" s="12"/>
    </row>
    <row r="8" spans="1:18" ht="14.55" customHeight="1" x14ac:dyDescent="0.3">
      <c r="D8" s="93"/>
      <c r="E8" s="30">
        <v>90</v>
      </c>
      <c r="F8" s="33">
        <v>1234</v>
      </c>
      <c r="G8" s="45">
        <f>IF(AND(ISNUMBER(F8),F8&lt;&gt;0), 100/$D$4*F8, "-")</f>
        <v>4.6061963419186265</v>
      </c>
      <c r="H8" s="47">
        <f>IF(ISNUMBER(G8), IF(ISNUMBER(H7), H7, IF(COUNT(H$7:H7)&gt;0, MIN(H$7:H7), 100)) - G8, "-")</f>
        <v>95.393803658081367</v>
      </c>
      <c r="J8" s="12"/>
      <c r="K8" s="12"/>
      <c r="L8" s="12"/>
      <c r="M8" s="12"/>
      <c r="N8" s="12"/>
      <c r="O8" s="12"/>
      <c r="P8" s="12"/>
      <c r="Q8" s="12"/>
      <c r="R8" s="12"/>
    </row>
    <row r="9" spans="1:18" ht="7.2" customHeight="1" thickBot="1" x14ac:dyDescent="0.35">
      <c r="D9" s="92"/>
      <c r="E9" s="94">
        <v>63</v>
      </c>
      <c r="F9" s="95">
        <v>1400</v>
      </c>
      <c r="G9" s="87">
        <f>IF(AND(ISNUMBER(F9),F9&lt;&gt;0), 100/$D$4*F9, "-")</f>
        <v>5.2258305337812621</v>
      </c>
      <c r="H9" s="89">
        <f>IF(ISNUMBER(G9), IF(ISNUMBER(H8), H8, IF(COUNT(H$7:H8)&gt;0, MIN(H$7:H8), 100)) - G9, "-")</f>
        <v>90.167973124300104</v>
      </c>
      <c r="J9" s="12"/>
      <c r="K9" s="12"/>
      <c r="L9" s="12"/>
      <c r="M9" s="12"/>
      <c r="N9" s="12"/>
      <c r="O9" s="12"/>
      <c r="P9" s="12"/>
      <c r="Q9" s="12"/>
      <c r="R9" s="12"/>
    </row>
    <row r="10" spans="1:18" ht="7.2" customHeight="1" x14ac:dyDescent="0.3">
      <c r="B10" s="72" t="str">
        <f>"" &amp; TEXT(MAX(H9:H26) - MIN(H9:H26), "0.00") &amp; " %"</f>
        <v>79.47 %</v>
      </c>
      <c r="C10" s="73"/>
      <c r="D10" s="91" t="str">
        <f>"Kies " &amp; TEXT(MAX(H9:H19) - MIN(H9:H19), "0.00") &amp; " %"</f>
        <v>Kies 64.27 %</v>
      </c>
      <c r="E10" s="94"/>
      <c r="F10" s="96"/>
      <c r="G10" s="88"/>
      <c r="H10" s="90"/>
      <c r="J10" s="12"/>
      <c r="K10" s="12"/>
      <c r="L10" s="12"/>
      <c r="M10" s="12"/>
      <c r="N10" s="12"/>
      <c r="O10" s="12"/>
      <c r="P10" s="12"/>
      <c r="Q10" s="12"/>
      <c r="R10" s="12"/>
    </row>
    <row r="11" spans="1:18" ht="14.55" customHeight="1" x14ac:dyDescent="0.3">
      <c r="B11" s="74"/>
      <c r="C11" s="75"/>
      <c r="D11" s="93"/>
      <c r="E11" s="30">
        <v>45</v>
      </c>
      <c r="F11" s="34">
        <v>2031</v>
      </c>
      <c r="G11" s="45">
        <f t="shared" ref="G11:G19" si="1">IF(AND(ISNUMBER(F11),F11&lt;&gt;0), 100/$D$4*F11, "-")</f>
        <v>7.5811870100783878</v>
      </c>
      <c r="H11" s="46">
        <f>IF(ISNUMBER(G11), IF(ISNUMBER(H9), H9, MIN(H$7:H10)) - G11, "-")</f>
        <v>82.586786114221724</v>
      </c>
      <c r="J11" s="12"/>
      <c r="K11" s="12"/>
      <c r="L11" s="12"/>
      <c r="M11" s="12"/>
      <c r="N11" s="12"/>
      <c r="O11" s="12"/>
      <c r="P11" s="12"/>
      <c r="Q11" s="12"/>
      <c r="R11" s="12"/>
    </row>
    <row r="12" spans="1:18" ht="14.55" customHeight="1" x14ac:dyDescent="0.3">
      <c r="B12" s="74"/>
      <c r="C12" s="75"/>
      <c r="D12" s="93"/>
      <c r="E12" s="31">
        <v>31.5</v>
      </c>
      <c r="F12" s="35">
        <v>1595</v>
      </c>
      <c r="G12" s="48">
        <f t="shared" si="1"/>
        <v>5.9537140724150799</v>
      </c>
      <c r="H12" s="47">
        <f>IF(ISNUMBER(G12), IF(ISNUMBER(H11), H11, IF(COUNT(H$7:H11)&gt;0, MIN(H$7:H11), 100)) - G12, "-")</f>
        <v>76.633072041806642</v>
      </c>
      <c r="J12" s="12"/>
      <c r="K12" s="12"/>
      <c r="L12" s="12"/>
      <c r="M12" s="12"/>
      <c r="N12" s="12"/>
      <c r="O12" s="12"/>
      <c r="P12" s="12"/>
      <c r="Q12" s="12"/>
      <c r="R12" s="12"/>
    </row>
    <row r="13" spans="1:18" ht="14.55" customHeight="1" x14ac:dyDescent="0.3">
      <c r="B13" s="74"/>
      <c r="C13" s="75"/>
      <c r="D13" s="93"/>
      <c r="E13" s="30">
        <v>22.4</v>
      </c>
      <c r="F13" s="34">
        <v>2127</v>
      </c>
      <c r="G13" s="45">
        <f>IF(AND(ISNUMBER(F13),F13&lt;&gt;0), 100/$D$4*F13, "-")</f>
        <v>7.9395296752519595</v>
      </c>
      <c r="H13" s="46">
        <f>IF(ISNUMBER(G13), IF(ISNUMBER(H12), H12, IF(COUNT(H$7:H12)&gt;0, MIN(H$7:H12), 100)) - G13, "-")</f>
        <v>68.693542366554681</v>
      </c>
      <c r="J13" s="12"/>
      <c r="K13" s="12"/>
      <c r="L13" s="12"/>
      <c r="M13" s="12"/>
      <c r="N13" s="12"/>
      <c r="O13" s="12"/>
      <c r="P13" s="12"/>
      <c r="Q13" s="12"/>
      <c r="R13" s="12"/>
    </row>
    <row r="14" spans="1:18" ht="14.55" customHeight="1" x14ac:dyDescent="0.3">
      <c r="B14" s="74"/>
      <c r="C14" s="75"/>
      <c r="D14" s="93"/>
      <c r="E14" s="31">
        <v>16</v>
      </c>
      <c r="F14" s="35">
        <v>2600</v>
      </c>
      <c r="G14" s="48">
        <f>IF(AND(ISNUMBER(F14),F14&lt;&gt;0), 100/$D$4*F14, "-")</f>
        <v>9.7051138484509138</v>
      </c>
      <c r="H14" s="47">
        <f>IF(ISNUMBER(G14), IF(ISNUMBER(H13), H13, IF(COUNT(H$7:H13)&gt;0, MIN(H$7:H13), 100)) - G14, "-")</f>
        <v>58.988428518103767</v>
      </c>
      <c r="J14" s="12"/>
      <c r="K14" s="12"/>
      <c r="L14" s="12"/>
      <c r="M14" s="12"/>
      <c r="N14" s="12"/>
      <c r="O14" s="12"/>
      <c r="P14" s="12"/>
      <c r="Q14" s="12"/>
      <c r="R14" s="12"/>
    </row>
    <row r="15" spans="1:18" ht="14.55" customHeight="1" x14ac:dyDescent="0.3">
      <c r="B15" s="74"/>
      <c r="C15" s="75"/>
      <c r="D15" s="93"/>
      <c r="E15" s="30">
        <v>11.2</v>
      </c>
      <c r="F15" s="34">
        <v>2406</v>
      </c>
      <c r="G15" s="45">
        <f t="shared" si="1"/>
        <v>8.9809630459126542</v>
      </c>
      <c r="H15" s="46">
        <f>IF(ISNUMBER(G15), IF(ISNUMBER(H14), H14, IF(COUNT(H$7:H14)&gt;0, MIN(H$7:H14), 100)) - G15, "-")</f>
        <v>50.007465472191114</v>
      </c>
      <c r="J15" s="12"/>
      <c r="K15" s="12"/>
      <c r="L15" s="12"/>
      <c r="M15" s="12"/>
      <c r="N15" s="12"/>
      <c r="O15" s="12"/>
      <c r="P15" s="12"/>
      <c r="Q15" s="12"/>
      <c r="R15" s="12"/>
    </row>
    <row r="16" spans="1:18" ht="14.55" customHeight="1" x14ac:dyDescent="0.35">
      <c r="B16" s="74"/>
      <c r="C16" s="75"/>
      <c r="D16" s="93"/>
      <c r="E16" s="31">
        <v>8</v>
      </c>
      <c r="F16" s="35">
        <v>1919</v>
      </c>
      <c r="G16" s="48">
        <f t="shared" si="1"/>
        <v>7.1631205673758869</v>
      </c>
      <c r="H16" s="47">
        <f>IF(ISNUMBER(G16), IF(ISNUMBER(H15), H15, IF(COUNT(H$7:H15)&gt;0, MIN(H$7:H15), 100)) - G16, "-")</f>
        <v>42.84434490481523</v>
      </c>
      <c r="I16" s="9"/>
      <c r="J16" s="12"/>
      <c r="K16" s="12"/>
      <c r="L16" s="12"/>
      <c r="M16" s="12"/>
      <c r="N16" s="12"/>
      <c r="O16" s="12"/>
      <c r="P16" s="12"/>
      <c r="Q16" s="12"/>
      <c r="R16" s="12"/>
    </row>
    <row r="17" spans="2:18" ht="14.55" customHeight="1" x14ac:dyDescent="0.35">
      <c r="B17" s="74"/>
      <c r="C17" s="75"/>
      <c r="D17" s="93"/>
      <c r="E17" s="30">
        <v>5.6</v>
      </c>
      <c r="F17" s="34">
        <v>1691</v>
      </c>
      <c r="G17" s="45">
        <f t="shared" si="1"/>
        <v>6.3120567375886525</v>
      </c>
      <c r="H17" s="46">
        <f>IF(ISNUMBER(G17), IF(ISNUMBER(H16), H16, IF(COUNT(H$7:H16)&gt;0, MIN(H$7:H16), 100)) - G17, "-")</f>
        <v>36.532288167226575</v>
      </c>
      <c r="I17" s="9"/>
      <c r="J17" s="12"/>
      <c r="K17" s="12"/>
      <c r="L17" s="12"/>
      <c r="M17" s="12"/>
      <c r="N17" s="12"/>
      <c r="O17" s="12"/>
      <c r="P17" s="12"/>
      <c r="Q17" s="12"/>
      <c r="R17" s="12"/>
    </row>
    <row r="18" spans="2:18" ht="14.55" customHeight="1" x14ac:dyDescent="0.35">
      <c r="B18" s="74"/>
      <c r="C18" s="75"/>
      <c r="D18" s="93"/>
      <c r="E18" s="31">
        <v>4</v>
      </c>
      <c r="F18" s="35">
        <v>1077</v>
      </c>
      <c r="G18" s="48">
        <f t="shared" si="1"/>
        <v>4.0201567749160132</v>
      </c>
      <c r="H18" s="47">
        <f>IF(ISNUMBER(G18), IF(ISNUMBER(H17), H17, IF(COUNT(H$7:H17)&gt;0, MIN(H$7:H17), 100)) - G18, "-")</f>
        <v>32.512131392310565</v>
      </c>
      <c r="I18" s="9"/>
      <c r="J18" s="12"/>
      <c r="K18" s="12"/>
      <c r="L18" s="12"/>
      <c r="M18" s="12"/>
      <c r="N18" s="12"/>
      <c r="O18" s="12"/>
      <c r="P18" s="12"/>
      <c r="Q18" s="12"/>
      <c r="R18" s="12"/>
    </row>
    <row r="19" spans="2:18" ht="7.2" customHeight="1" thickBot="1" x14ac:dyDescent="0.4">
      <c r="B19" s="74"/>
      <c r="C19" s="75"/>
      <c r="D19" s="92"/>
      <c r="E19" s="84">
        <v>2</v>
      </c>
      <c r="F19" s="85">
        <v>1773</v>
      </c>
      <c r="G19" s="97">
        <f t="shared" si="1"/>
        <v>6.6181410974244121</v>
      </c>
      <c r="H19" s="99">
        <f>IF(ISNUMBER(G19), IF(ISNUMBER(H18), H18, IF(COUNT(H$7:H18)&gt;0, MIN(H$7:H18), 100)) - G19, "-")</f>
        <v>25.893990294886152</v>
      </c>
      <c r="I19" s="9"/>
      <c r="J19" s="12"/>
      <c r="K19" s="12"/>
      <c r="L19" s="12"/>
      <c r="M19" s="12"/>
      <c r="N19" s="12"/>
      <c r="O19" s="12"/>
      <c r="P19" s="12"/>
      <c r="Q19" s="12"/>
      <c r="R19" s="12"/>
    </row>
    <row r="20" spans="2:18" ht="7.2" customHeight="1" x14ac:dyDescent="0.35">
      <c r="B20" s="74"/>
      <c r="C20" s="75"/>
      <c r="D20" s="91" t="str">
        <f>"Sand " &amp; TEXT(MAX(H19:H26) - MIN(H19:H26), "0.00") &amp; " %"</f>
        <v>Sand 15.20 %</v>
      </c>
      <c r="E20" s="84"/>
      <c r="F20" s="86"/>
      <c r="G20" s="98"/>
      <c r="H20" s="100"/>
      <c r="I20" s="9"/>
      <c r="J20" s="12"/>
      <c r="K20" s="12"/>
      <c r="L20" s="12"/>
      <c r="M20" s="12"/>
      <c r="N20" s="12"/>
      <c r="O20" s="12"/>
      <c r="P20" s="12"/>
      <c r="Q20" s="12"/>
      <c r="R20" s="12"/>
    </row>
    <row r="21" spans="2:18" ht="14.55" customHeight="1" x14ac:dyDescent="0.35">
      <c r="B21" s="74"/>
      <c r="C21" s="75"/>
      <c r="D21" s="93"/>
      <c r="E21" s="31">
        <v>1</v>
      </c>
      <c r="F21" s="35">
        <v>1395</v>
      </c>
      <c r="G21" s="48">
        <f t="shared" ref="G21:G26" si="2">IF(AND(ISNUMBER(F21),F21&lt;&gt;0), 100/$D$4*F21, "-")</f>
        <v>5.2071668533034714</v>
      </c>
      <c r="H21" s="47">
        <f>IF(ISNUMBER(G21), IF(ISNUMBER(H20), H20, IF(COUNT(H$7:H20)&gt;0, MIN(H$7:H20), 100)) - G21, "-")</f>
        <v>20.686823441582682</v>
      </c>
      <c r="I21" s="9"/>
      <c r="J21" s="12"/>
      <c r="K21" s="12"/>
      <c r="L21" s="12"/>
      <c r="M21" s="12"/>
      <c r="N21" s="12"/>
      <c r="O21" s="12"/>
      <c r="P21" s="12"/>
      <c r="Q21" s="12"/>
      <c r="R21" s="12"/>
    </row>
    <row r="22" spans="2:18" ht="14.55" customHeight="1" x14ac:dyDescent="0.35">
      <c r="B22" s="74"/>
      <c r="C22" s="75"/>
      <c r="D22" s="93"/>
      <c r="E22" s="30">
        <v>0.5</v>
      </c>
      <c r="F22" s="34">
        <v>1254</v>
      </c>
      <c r="G22" s="45">
        <f t="shared" si="2"/>
        <v>4.6808510638297873</v>
      </c>
      <c r="H22" s="46">
        <f>IF(ISNUMBER(G22), IF(ISNUMBER(H21), H21, IF(COUNT(H$7:H21)&gt;0, MIN(H$7:H21), 100)) - G22, "-")</f>
        <v>16.005972377752894</v>
      </c>
      <c r="I22" s="9"/>
      <c r="J22" s="12"/>
      <c r="K22" s="12"/>
      <c r="L22" s="12"/>
      <c r="M22" s="12"/>
      <c r="N22" s="12"/>
      <c r="O22" s="12"/>
      <c r="P22" s="12"/>
      <c r="Q22" s="12"/>
      <c r="R22" s="12"/>
    </row>
    <row r="23" spans="2:18" ht="14.55" customHeight="1" thickBot="1" x14ac:dyDescent="0.35">
      <c r="B23" s="74"/>
      <c r="C23" s="75"/>
      <c r="D23" s="93"/>
      <c r="E23" s="31">
        <v>0.25</v>
      </c>
      <c r="F23" s="35">
        <v>1186</v>
      </c>
      <c r="G23" s="48">
        <f t="shared" si="2"/>
        <v>4.4270250093318406</v>
      </c>
      <c r="H23" s="47">
        <f>IF(ISNUMBER(G23), IF(ISNUMBER(H22), H22, IF(COUNT(H$7:H22)&gt;0, MIN(H$7:H22), 100)) - G23, "-")</f>
        <v>11.578947368421053</v>
      </c>
      <c r="J23" s="12"/>
      <c r="K23" s="12"/>
      <c r="L23" s="12"/>
      <c r="M23" s="12"/>
      <c r="N23" s="12"/>
      <c r="O23" s="12"/>
      <c r="P23" s="12"/>
      <c r="Q23" s="12"/>
      <c r="R23" s="12"/>
    </row>
    <row r="24" spans="2:18" ht="14.55" customHeight="1" x14ac:dyDescent="0.3">
      <c r="B24" s="74"/>
      <c r="C24" s="75"/>
      <c r="D24" s="93"/>
      <c r="E24" s="31">
        <v>0.2</v>
      </c>
      <c r="F24" s="35">
        <v>237</v>
      </c>
      <c r="G24" s="45">
        <f t="shared" si="2"/>
        <v>0.88465845464725645</v>
      </c>
      <c r="H24" s="46">
        <f>IF(ISNUMBER(G24), IF(ISNUMBER(H23), H23, IF(COUNT(H$7:H23)&gt;0, MIN(H$7:H23), 100)) - G24, "-")</f>
        <v>10.694288913773796</v>
      </c>
      <c r="I24" s="102" t="s">
        <v>30</v>
      </c>
      <c r="J24" s="12"/>
      <c r="K24" s="12"/>
      <c r="L24" s="12"/>
      <c r="M24" s="12"/>
      <c r="N24" s="12"/>
      <c r="O24" s="12"/>
      <c r="P24" s="12"/>
      <c r="Q24" s="12"/>
      <c r="R24" s="12"/>
    </row>
    <row r="25" spans="2:18" ht="14.55" customHeight="1" thickBot="1" x14ac:dyDescent="0.35">
      <c r="B25" s="74"/>
      <c r="C25" s="75"/>
      <c r="D25" s="93"/>
      <c r="E25" s="30">
        <v>0.125</v>
      </c>
      <c r="F25" s="34"/>
      <c r="G25" s="48" t="str">
        <f t="shared" si="2"/>
        <v>-</v>
      </c>
      <c r="H25" s="47" t="str">
        <f>IF(ISNUMBER(G25), IF(ISNUMBER(H24), H24, IF(COUNT(H$7:H24)&gt;0, MIN(H$7:H24), 100)) - G25, "-")</f>
        <v>-</v>
      </c>
      <c r="I25" s="103"/>
      <c r="J25" s="12"/>
      <c r="K25" s="12"/>
      <c r="L25" s="12"/>
      <c r="M25" s="12"/>
      <c r="N25" s="12"/>
      <c r="O25" s="12"/>
      <c r="P25" s="12"/>
      <c r="Q25" s="12"/>
      <c r="R25" s="12"/>
    </row>
    <row r="26" spans="2:18" ht="7.2" customHeight="1" thickBot="1" x14ac:dyDescent="0.35">
      <c r="B26" s="76"/>
      <c r="C26" s="77"/>
      <c r="D26" s="92"/>
      <c r="E26" s="94">
        <v>6.3E-2</v>
      </c>
      <c r="F26" s="95"/>
      <c r="G26" s="97" t="str">
        <f t="shared" si="2"/>
        <v>-</v>
      </c>
      <c r="H26" s="99" t="str">
        <f>IF(ISNUMBER(I26), I26, IF(ISNUMBER(G26), IF(ISNUMBER(H25), H25, IF(COUNT(H$7:H25)&gt;0, MIN(H$7:H25), 100)) - G26, "-"))</f>
        <v>-</v>
      </c>
      <c r="I26" s="80"/>
      <c r="J26" s="12"/>
      <c r="K26" s="12"/>
      <c r="L26" s="12"/>
      <c r="M26" s="12"/>
      <c r="N26" s="12"/>
      <c r="O26" s="12"/>
      <c r="P26" s="12"/>
      <c r="Q26" s="12"/>
      <c r="R26" s="12"/>
    </row>
    <row r="27" spans="2:18" ht="7.2" customHeight="1" x14ac:dyDescent="0.3">
      <c r="B27" s="72" t="str">
        <f>"" &amp; TEXT(MAX(H26:H40) - MIN(H26:H40), "0.00") &amp; " %"</f>
        <v>9.00 %</v>
      </c>
      <c r="C27" s="73"/>
      <c r="D27" s="91" t="str">
        <f>"Silt " &amp; TEXT(MAX(H26:H38) - MIN(H26:H38), "0.00") &amp; " %"</f>
        <v>Silt 9.00 %</v>
      </c>
      <c r="E27" s="94"/>
      <c r="F27" s="96"/>
      <c r="G27" s="98"/>
      <c r="H27" s="100"/>
      <c r="I27" s="80"/>
      <c r="J27" s="12"/>
      <c r="K27" s="12"/>
      <c r="L27" s="12"/>
      <c r="M27" s="12"/>
      <c r="N27" s="12"/>
      <c r="O27" s="12"/>
      <c r="P27" s="12"/>
      <c r="Q27" s="12"/>
      <c r="R27" s="12"/>
    </row>
    <row r="28" spans="2:18" ht="14.55" customHeight="1" x14ac:dyDescent="0.3">
      <c r="B28" s="74"/>
      <c r="C28" s="75"/>
      <c r="D28" s="93"/>
      <c r="E28" s="30">
        <v>0.05</v>
      </c>
      <c r="F28" s="34"/>
      <c r="G28" s="48" t="str">
        <f t="shared" ref="G28:G38" si="3">IF(AND(ISNUMBER(F28),F28&lt;&gt;0), 100/$D$4*F28, "-")</f>
        <v>-</v>
      </c>
      <c r="H28" s="47">
        <f>IF(ISNUMBER(I28), I28, IF(ISNUMBER(G28), IF(ISNUMBER(H27), H27, IF(COUNT(H$7:H27)&gt;0, MIN(H$7:H27), 100)) - G28, "-"))</f>
        <v>11.6</v>
      </c>
      <c r="I28" s="41">
        <v>11.6</v>
      </c>
      <c r="J28" s="12"/>
      <c r="K28" s="12"/>
      <c r="L28" s="12"/>
      <c r="M28" s="12"/>
      <c r="N28" s="12"/>
      <c r="O28" s="12"/>
      <c r="P28" s="12"/>
      <c r="Q28" s="12"/>
      <c r="R28" s="12"/>
    </row>
    <row r="29" spans="2:18" ht="14.55" customHeight="1" x14ac:dyDescent="0.3">
      <c r="B29" s="74"/>
      <c r="C29" s="75"/>
      <c r="D29" s="93"/>
      <c r="E29" s="31">
        <v>0.04</v>
      </c>
      <c r="F29" s="35"/>
      <c r="G29" s="45" t="str">
        <f t="shared" si="3"/>
        <v>-</v>
      </c>
      <c r="H29" s="46" t="str">
        <f>IF(ISNUMBER(I29), I29, IF(ISNUMBER(G29), IF(ISNUMBER(H28), H28, IF(COUNT(H$7:H28)&gt;0, MIN(H$7:H28), 100)) - G29, "-"))</f>
        <v>-</v>
      </c>
      <c r="I29" s="40"/>
      <c r="J29" s="12"/>
      <c r="K29" s="12"/>
      <c r="L29" s="12"/>
      <c r="M29" s="12"/>
      <c r="N29" s="12"/>
      <c r="O29" s="12"/>
      <c r="P29" s="12"/>
      <c r="Q29" s="12"/>
      <c r="R29" s="12"/>
    </row>
    <row r="30" spans="2:18" ht="14.55" customHeight="1" x14ac:dyDescent="0.3">
      <c r="B30" s="74"/>
      <c r="C30" s="75"/>
      <c r="D30" s="93"/>
      <c r="E30" s="30">
        <v>0.03</v>
      </c>
      <c r="F30" s="34"/>
      <c r="G30" s="48" t="str">
        <f t="shared" si="3"/>
        <v>-</v>
      </c>
      <c r="H30" s="47" t="str">
        <f>IF(ISNUMBER(I30), I30, IF(ISNUMBER(G30), IF(ISNUMBER(H29), H29, IF(COUNT(H$7:H29)&gt;0, MIN(H$7:H29), 100)) - G30, "-"))</f>
        <v>-</v>
      </c>
      <c r="I30" s="41"/>
      <c r="J30" s="12"/>
      <c r="K30" s="12"/>
      <c r="L30" s="12"/>
      <c r="M30" s="12"/>
      <c r="N30" s="12"/>
      <c r="O30" s="12"/>
      <c r="P30" s="12"/>
      <c r="Q30" s="12"/>
      <c r="R30" s="12"/>
    </row>
    <row r="31" spans="2:18" ht="14.55" customHeight="1" x14ac:dyDescent="0.3">
      <c r="B31" s="74"/>
      <c r="C31" s="75"/>
      <c r="D31" s="93"/>
      <c r="E31" s="31">
        <v>0.02</v>
      </c>
      <c r="F31" s="35"/>
      <c r="G31" s="45" t="str">
        <f t="shared" si="3"/>
        <v>-</v>
      </c>
      <c r="H31" s="46">
        <f>IF(ISNUMBER(I31), I31, IF(ISNUMBER(G31), IF(ISNUMBER(H30), H30, IF(COUNT(H$7:H30)&gt;0, MIN(H$7:H30), 100)) - G31, "-"))</f>
        <v>8.1</v>
      </c>
      <c r="I31" s="40">
        <v>8.1</v>
      </c>
      <c r="J31" s="12"/>
      <c r="K31" s="12"/>
      <c r="L31" s="12"/>
      <c r="M31" s="12"/>
      <c r="N31" s="12"/>
      <c r="O31" s="12"/>
      <c r="P31" s="12"/>
      <c r="Q31" s="12"/>
      <c r="R31" s="12"/>
    </row>
    <row r="32" spans="2:18" ht="14.55" customHeight="1" x14ac:dyDescent="0.3">
      <c r="B32" s="74"/>
      <c r="C32" s="75"/>
      <c r="D32" s="93"/>
      <c r="E32" s="30">
        <v>1.4999999999999999E-2</v>
      </c>
      <c r="F32" s="34"/>
      <c r="G32" s="48" t="str">
        <f t="shared" si="3"/>
        <v>-</v>
      </c>
      <c r="H32" s="47" t="str">
        <f>IF(ISNUMBER(I32), I32, IF(ISNUMBER(G32), IF(ISNUMBER(H31), H31, IF(COUNT(H$7:H31)&gt;0, MIN(H$7:H31), 100)) - G32, "-"))</f>
        <v>-</v>
      </c>
      <c r="I32" s="41"/>
      <c r="J32" s="12"/>
      <c r="K32" s="12"/>
      <c r="L32" s="12"/>
      <c r="M32" s="12"/>
      <c r="N32" s="12"/>
      <c r="O32" s="12"/>
      <c r="P32" s="12"/>
      <c r="Q32" s="12"/>
      <c r="R32" s="12"/>
    </row>
    <row r="33" spans="2:18" ht="14.55" customHeight="1" x14ac:dyDescent="0.3">
      <c r="B33" s="74"/>
      <c r="C33" s="75"/>
      <c r="D33" s="93"/>
      <c r="E33" s="31">
        <v>0.01</v>
      </c>
      <c r="F33" s="35"/>
      <c r="G33" s="45" t="str">
        <f t="shared" si="3"/>
        <v>-</v>
      </c>
      <c r="H33" s="46" t="str">
        <f>IF(ISNUMBER(I33), I33, IF(ISNUMBER(G33), IF(ISNUMBER(H32), H32, IF(COUNT(H$7:H32)&gt;0, MIN(H$7:H32), 100)) - G33, "-"))</f>
        <v>-</v>
      </c>
      <c r="I33" s="40"/>
      <c r="J33" s="12"/>
      <c r="K33" s="12"/>
      <c r="L33" s="12"/>
      <c r="M33" s="12"/>
      <c r="N33" s="12"/>
      <c r="O33" s="12"/>
      <c r="P33" s="12"/>
      <c r="Q33" s="12"/>
      <c r="R33" s="12"/>
    </row>
    <row r="34" spans="2:18" ht="14.55" customHeight="1" x14ac:dyDescent="0.3">
      <c r="B34" s="74"/>
      <c r="C34" s="75"/>
      <c r="D34" s="93"/>
      <c r="E34" s="30">
        <v>8.0000000000000002E-3</v>
      </c>
      <c r="F34" s="34"/>
      <c r="G34" s="48" t="str">
        <f t="shared" si="3"/>
        <v>-</v>
      </c>
      <c r="H34" s="47" t="str">
        <f>IF(ISNUMBER(I34), I34, IF(ISNUMBER(G34), IF(ISNUMBER(H33), H33, IF(COUNT(H$7:H33)&gt;0, MIN(H$7:H33), 100)) - G34, "-"))</f>
        <v>-</v>
      </c>
      <c r="I34" s="41"/>
      <c r="J34" s="12"/>
      <c r="K34" s="12"/>
      <c r="L34" s="12"/>
      <c r="M34" s="12"/>
      <c r="N34" s="12"/>
      <c r="O34" s="12"/>
      <c r="P34" s="12"/>
      <c r="Q34" s="12"/>
      <c r="R34" s="12"/>
    </row>
    <row r="35" spans="2:18" ht="14.55" customHeight="1" x14ac:dyDescent="0.3">
      <c r="B35" s="74"/>
      <c r="C35" s="75"/>
      <c r="D35" s="93"/>
      <c r="E35" s="31">
        <v>6.0000000000000001E-3</v>
      </c>
      <c r="F35" s="35"/>
      <c r="G35" s="45" t="str">
        <f t="shared" si="3"/>
        <v>-</v>
      </c>
      <c r="H35" s="46" t="str">
        <f>IF(ISNUMBER(I35), I35, IF(ISNUMBER(G35), IF(ISNUMBER(H34), H34, IF(COUNT(H$7:H34)&gt;0, MIN(H$7:H34), 100)) - G35, "-"))</f>
        <v>-</v>
      </c>
      <c r="I35" s="40"/>
      <c r="J35" s="12"/>
      <c r="K35" s="12"/>
      <c r="L35" s="12"/>
      <c r="M35" s="12"/>
      <c r="N35" s="12"/>
      <c r="O35" s="12"/>
      <c r="P35" s="12"/>
      <c r="Q35" s="12"/>
      <c r="R35" s="12"/>
    </row>
    <row r="36" spans="2:18" ht="14.55" customHeight="1" x14ac:dyDescent="0.3">
      <c r="B36" s="74"/>
      <c r="C36" s="75"/>
      <c r="D36" s="93"/>
      <c r="E36" s="30">
        <v>4.0000000000000001E-3</v>
      </c>
      <c r="F36" s="34"/>
      <c r="G36" s="48" t="str">
        <f t="shared" si="3"/>
        <v>-</v>
      </c>
      <c r="H36" s="47" t="str">
        <f>IF(ISNUMBER(I36), I36, IF(ISNUMBER(G36), IF(ISNUMBER(H35), H35, IF(COUNT(H$7:H35)&gt;0, MIN(H$7:H35), 100)) - G36, "-"))</f>
        <v>-</v>
      </c>
      <c r="I36" s="41"/>
      <c r="J36" s="12"/>
      <c r="K36" s="12"/>
      <c r="L36" s="12"/>
      <c r="M36" s="12"/>
      <c r="N36" s="12"/>
      <c r="O36" s="12"/>
      <c r="P36" s="12"/>
      <c r="Q36" s="12"/>
      <c r="R36" s="12"/>
    </row>
    <row r="37" spans="2:18" ht="14.55" customHeight="1" x14ac:dyDescent="0.3">
      <c r="B37" s="74"/>
      <c r="C37" s="75"/>
      <c r="D37" s="93"/>
      <c r="E37" s="31">
        <v>3.0000000000000001E-3</v>
      </c>
      <c r="F37" s="35"/>
      <c r="G37" s="45" t="str">
        <f t="shared" si="3"/>
        <v>-</v>
      </c>
      <c r="H37" s="46" t="str">
        <f>IF(ISNUMBER(I37), I37, IF(ISNUMBER(G37), IF(ISNUMBER(H36), H36, IF(COUNT(H$7:H36)&gt;0, MIN(H$7:H36), 100)) - G37, "-"))</f>
        <v>-</v>
      </c>
      <c r="I37" s="40"/>
      <c r="J37" s="12"/>
      <c r="K37" s="12"/>
      <c r="L37" s="12"/>
      <c r="M37" s="12"/>
      <c r="N37" s="12"/>
      <c r="O37" s="12"/>
      <c r="P37" s="12"/>
      <c r="Q37" s="12"/>
      <c r="R37" s="12"/>
    </row>
    <row r="38" spans="2:18" ht="7.2" customHeight="1" thickBot="1" x14ac:dyDescent="0.35">
      <c r="B38" s="74"/>
      <c r="C38" s="75"/>
      <c r="D38" s="92"/>
      <c r="E38" s="84">
        <v>2E-3</v>
      </c>
      <c r="F38" s="85"/>
      <c r="G38" s="87" t="str">
        <f t="shared" si="3"/>
        <v>-</v>
      </c>
      <c r="H38" s="89">
        <f>IF(ISNUMBER(I38), I38, IF(ISNUMBER(G38), IF(ISNUMBER(H37), H37, IF(COUNT(H$7:H37)&gt;0, MIN(H$7:H37), 100)) - G38, "-"))</f>
        <v>2.6</v>
      </c>
      <c r="I38" s="78">
        <v>2.6</v>
      </c>
      <c r="J38" s="12"/>
      <c r="K38" s="12"/>
      <c r="L38" s="12"/>
      <c r="M38" s="12"/>
      <c r="N38" s="12"/>
      <c r="O38" s="12"/>
      <c r="P38" s="12"/>
      <c r="Q38" s="12"/>
      <c r="R38" s="12"/>
    </row>
    <row r="39" spans="2:18" ht="7.2" customHeight="1" x14ac:dyDescent="0.3">
      <c r="B39" s="74"/>
      <c r="C39" s="75"/>
      <c r="D39" s="91" t="str">
        <f>"Ton " &amp; TEXT(MAX(H38:H40) - MIN(H38:H40), "0.00") &amp; " %"</f>
        <v>Ton 0.00 %</v>
      </c>
      <c r="E39" s="84"/>
      <c r="F39" s="86"/>
      <c r="G39" s="88"/>
      <c r="H39" s="90"/>
      <c r="I39" s="79"/>
    </row>
    <row r="40" spans="2:18" ht="14.55" customHeight="1" thickBot="1" x14ac:dyDescent="0.35">
      <c r="B40" s="76"/>
      <c r="C40" s="77"/>
      <c r="D40" s="92"/>
      <c r="E40" s="31">
        <v>1E-3</v>
      </c>
      <c r="F40" s="39"/>
      <c r="G40" s="49" t="str">
        <f>IF(AND(ISNUMBER(F40),F40&lt;&gt;0), 100/$D$4*F40, "-")</f>
        <v>-</v>
      </c>
      <c r="H40" s="50" t="str">
        <f>IF(ISNUMBER(I40), I40, IF(ISNUMBER(G40), IF(ISNUMBER(H39), H39, IF(COUNT(H$7:H39)&gt;0, MIN(H$7:H39), 100)) - G40, "-"))</f>
        <v>-</v>
      </c>
      <c r="I40" s="42"/>
    </row>
    <row r="41" spans="2:18" x14ac:dyDescent="0.3">
      <c r="E41" s="51" t="s">
        <v>7</v>
      </c>
      <c r="F41" s="54">
        <f>SUM(F7:F40)</f>
        <v>23925</v>
      </c>
      <c r="G41" s="53">
        <f>(MAX(H7:H9) - MIN(H7:H9)) + (MAX(H9:H19) - MIN(H9:H19)) + (MAX(H19:H26) - MIN(H19:H26)) + (MAX(H26:H38) - MIN(H26:H38)) + (MAX(H38:H40) - MIN(H38:H40))</f>
        <v>93.699514744307578</v>
      </c>
    </row>
    <row r="42" spans="2:18" ht="15" thickBot="1" x14ac:dyDescent="0.35">
      <c r="E42" s="52" t="s">
        <v>8</v>
      </c>
      <c r="F42" s="55">
        <f>D4-F41</f>
        <v>2865</v>
      </c>
      <c r="G42" s="17">
        <f>ABS(100-G41)</f>
        <v>6.300485255692422</v>
      </c>
      <c r="H42" s="5" t="s">
        <v>28</v>
      </c>
    </row>
    <row r="44" spans="2:18" ht="15" thickBot="1" x14ac:dyDescent="0.35"/>
    <row r="45" spans="2:18" ht="15" thickBot="1" x14ac:dyDescent="0.35">
      <c r="C45" s="6"/>
      <c r="D45" s="7" t="s">
        <v>31</v>
      </c>
      <c r="E45" s="7" t="s">
        <v>10</v>
      </c>
      <c r="F45" s="7" t="s">
        <v>11</v>
      </c>
      <c r="G45" s="7" t="s">
        <v>13</v>
      </c>
      <c r="H45" s="7"/>
      <c r="I45" s="7"/>
      <c r="J45" s="7"/>
      <c r="K45" s="7"/>
      <c r="L45" s="8"/>
    </row>
    <row r="46" spans="2:18" x14ac:dyDescent="0.3">
      <c r="D46" s="14" t="s">
        <v>0</v>
      </c>
      <c r="E46" s="22" cm="1">
        <f t="array" ref="E46">InterpolierteSieblinie(10,Siebgrössen_gefiltert!A2:A33,Siebgrössen_gefiltert!B2:B33)</f>
        <v>3.6285714285714289E-2</v>
      </c>
      <c r="F46" s="23">
        <v>10</v>
      </c>
      <c r="G46" s="63" t="str" cm="1">
        <f t="array" ref="G46">InterpolierteSieblinie_Rechnungsweg(10, Siebgrössen_gefiltert!A2:A33, Siebgrössen_gefiltert!B2:B33)</f>
        <v>0.050 + (10.000 - 11.600) * (0.020 - 0.050) / (8.100 - 11.600) = 0.036</v>
      </c>
      <c r="H46" s="64"/>
      <c r="I46" s="64"/>
      <c r="J46" s="64"/>
      <c r="K46" s="64"/>
      <c r="L46" s="65"/>
    </row>
    <row r="47" spans="2:18" x14ac:dyDescent="0.3">
      <c r="D47" s="15" t="s">
        <v>1</v>
      </c>
      <c r="E47" s="24" cm="1">
        <f t="array" ref="E47">InterpolierteSieblinie(30,Siebgrössen_gefiltert!A2:A33,Siebgrössen_gefiltert!B2:B33)</f>
        <v>3.2424242424242427</v>
      </c>
      <c r="F47" s="25">
        <v>30</v>
      </c>
      <c r="G47" s="81" t="str" cm="1">
        <f t="array" ref="G47">InterpolierteSieblinie_Rechnungsweg(30, Siebgrössen_gefiltert!A2:A33, Siebgrössen_gefiltert!B2:B33)</f>
        <v>4.000 + (30.000 - 32.500) * (2.000 - 4.000) / (25.900 - 32.500) = 3.242</v>
      </c>
      <c r="H47" s="82"/>
      <c r="I47" s="82"/>
      <c r="J47" s="82"/>
      <c r="K47" s="82"/>
      <c r="L47" s="83"/>
    </row>
    <row r="48" spans="2:18" ht="15" thickBot="1" x14ac:dyDescent="0.35">
      <c r="D48" s="16" t="s">
        <v>2</v>
      </c>
      <c r="E48" s="26" cm="1">
        <f t="array" ref="E48">InterpolierteSieblinie(60,Siebgrössen_gefiltert!A2:A33,Siebgrössen_gefiltert!B2:B33)</f>
        <v>16.659793814432991</v>
      </c>
      <c r="F48" s="27">
        <v>60</v>
      </c>
      <c r="G48" s="60" t="str" cm="1">
        <f t="array" ref="G48">InterpolierteSieblinie_Rechnungsweg(60, Siebgrössen_gefiltert!A2:A33, Siebgrössen_gefiltert!B2:B33)</f>
        <v>22.400 + (60.000 - 68.700) * (16.000 - 22.400) / (59.000 - 68.700) = 16.660</v>
      </c>
      <c r="H48" s="61"/>
      <c r="I48" s="61"/>
      <c r="J48" s="61"/>
      <c r="K48" s="61"/>
      <c r="L48" s="62"/>
    </row>
    <row r="50" spans="3:8" ht="15" thickBot="1" x14ac:dyDescent="0.35"/>
    <row r="51" spans="3:8" ht="15" thickBot="1" x14ac:dyDescent="0.35">
      <c r="C51" s="69" t="s">
        <v>22</v>
      </c>
      <c r="D51" s="70"/>
      <c r="E51" s="70"/>
      <c r="F51" s="70"/>
      <c r="G51" s="70"/>
      <c r="H51" s="71"/>
    </row>
    <row r="52" spans="3:8" ht="19.8" x14ac:dyDescent="0.45">
      <c r="D52" s="56" t="s">
        <v>33</v>
      </c>
      <c r="E52" s="58">
        <f>E48/E46</f>
        <v>459.12817598831072</v>
      </c>
      <c r="F52" s="63" t="str">
        <f>IFERROR(ROUND(E48,2) &amp; " ÷ " &amp; ROUND(E46,2) &amp; " = " &amp; ROUND(E48/E46,3), "Fehler: Ungültige Werte")</f>
        <v>16.66 ÷ 0.04 = 459.128</v>
      </c>
      <c r="G52" s="64"/>
      <c r="H52" s="65"/>
    </row>
    <row r="53" spans="3:8" ht="20.399999999999999" thickBot="1" x14ac:dyDescent="0.5">
      <c r="D53" s="57" t="s">
        <v>34</v>
      </c>
      <c r="E53" s="59">
        <f>(E47^2)/(E46*E48)</f>
        <v>17.391393308980145</v>
      </c>
      <c r="F53" s="66" t="str">
        <f>IFERROR("(" &amp; ROUND(E47,2) &amp; "²) ÷ (" &amp; ROUND(E46,2) &amp; " × " &amp; ROUND(E48,2) &amp; ") = " &amp; ROUND((E47^2)/(E46*E48),3), "Fehler: Ungültige Werte")</f>
        <v>(3.24²) ÷ (0.04 × 16.66) = 17.391</v>
      </c>
      <c r="G53" s="67"/>
      <c r="H53" s="68"/>
    </row>
    <row r="54" spans="3:8" x14ac:dyDescent="0.3">
      <c r="E54" s="28"/>
      <c r="F54" s="11"/>
    </row>
    <row r="55" spans="3:8" x14ac:dyDescent="0.3">
      <c r="E55" s="28"/>
      <c r="F55" s="11"/>
    </row>
    <row r="57" spans="3:8" x14ac:dyDescent="0.3">
      <c r="D57" s="5" t="s">
        <v>24</v>
      </c>
      <c r="E57" t="s">
        <v>26</v>
      </c>
    </row>
    <row r="58" spans="3:8" x14ac:dyDescent="0.3">
      <c r="D58" t="s">
        <v>25</v>
      </c>
      <c r="E58" s="11">
        <f>(MAX(H9:H26)-MIN(H9:H26))</f>
        <v>79.473684210526301</v>
      </c>
    </row>
    <row r="59" spans="3:8" x14ac:dyDescent="0.3">
      <c r="D59" t="s">
        <v>4</v>
      </c>
      <c r="E59" s="11">
        <f>(MAX(H9:H19)-MIN(H9:H19))</f>
        <v>64.273982829413953</v>
      </c>
    </row>
    <row r="60" spans="3:8" x14ac:dyDescent="0.3">
      <c r="D60" t="s">
        <v>5</v>
      </c>
      <c r="E60" s="11">
        <f>(MAX(H19:H26)-MIN(H19:H26))</f>
        <v>15.199701381112355</v>
      </c>
      <c r="F60" s="11"/>
      <c r="G60" s="11"/>
    </row>
    <row r="61" spans="3:8" x14ac:dyDescent="0.3">
      <c r="D61" t="s">
        <v>6</v>
      </c>
      <c r="E61" s="11">
        <f>MAX(H26:H40) - MIN(H26:H40)</f>
        <v>9</v>
      </c>
    </row>
    <row r="62" spans="3:8" x14ac:dyDescent="0.3">
      <c r="D62" t="s">
        <v>3</v>
      </c>
      <c r="E62" s="11">
        <f>(MAX(H7:H9)-MIN(H7:H9))</f>
        <v>5.2258305337812629</v>
      </c>
    </row>
    <row r="63" spans="3:8" x14ac:dyDescent="0.3">
      <c r="E63" s="10">
        <f>SUM(E59:E62)</f>
        <v>93.699514744307564</v>
      </c>
    </row>
    <row r="65" spans="4:7" x14ac:dyDescent="0.3">
      <c r="D65" s="10" t="str">
        <f>IF(E58&gt;50, "Grobkörnig", "Feinkörnig")</f>
        <v>Grobkörnig</v>
      </c>
    </row>
    <row r="66" spans="4:7" x14ac:dyDescent="0.3">
      <c r="D66" t="str">
        <f>IF(E59 &gt; E60, "Kies", "Sand")</f>
        <v>Kies</v>
      </c>
    </row>
    <row r="67" spans="4:7" x14ac:dyDescent="0.3">
      <c r="D67" t="str">
        <f>IF(OR(AND(ISNUMBER(SEARCH("CH",H4)), ISNUMBER(SEARCH("OL",H4))), AND(ISNUMBER(SEARCH("CM",H4)), ISNUMBER(SEARCH("OL",H4))), AND(ISNUMBER(SEARCH("CL",H4)), ISNUMBER(SEARCH("OL",H4))), AND(ISNUMBER(SEARCH("CL",H4)), ISNUMBER(SEARCH("ML",H4)))), "Ton", IF(OR(AND(ISNUMBER(SEARCH("ML",H4)), ISNUMBER(SEARCH("OL",H4))), AND(ISNUMBER(SEARCH("MH",H4)), ISNUMBER(SEARCH("OH",H4)))), "Silt", ""))</f>
        <v>Ton</v>
      </c>
    </row>
    <row r="70" spans="4:7" x14ac:dyDescent="0.3">
      <c r="D70" t="s">
        <v>27</v>
      </c>
      <c r="F70" s="38" t="str" cm="1">
        <f t="array" ref="F70">KlassifiziereKies(E61,E52,E53,H4,E60)</f>
        <v>GP-GC - schlecht abgestufter Kies mit Ton (oder siltigem Ton) und Sand</v>
      </c>
    </row>
    <row r="71" spans="4:7" x14ac:dyDescent="0.3">
      <c r="D71" t="s">
        <v>29</v>
      </c>
      <c r="F71" s="5" t="str" cm="1">
        <f t="array" ref="F71">KlassifiziereSand(E61,E52,E53,H4,E60)</f>
        <v>SP-SC - schlecht abgestufter Sand mit Ton (oder siltigem Ton) und Kies</v>
      </c>
    </row>
    <row r="74" spans="4:7" ht="18" x14ac:dyDescent="0.35">
      <c r="G74" s="9"/>
    </row>
  </sheetData>
  <mergeCells count="32">
    <mergeCell ref="I24:I25"/>
    <mergeCell ref="F19:F20"/>
    <mergeCell ref="G19:G20"/>
    <mergeCell ref="H19:H20"/>
    <mergeCell ref="E19:E20"/>
    <mergeCell ref="E9:E10"/>
    <mergeCell ref="F9:F10"/>
    <mergeCell ref="G9:G10"/>
    <mergeCell ref="H9:H10"/>
    <mergeCell ref="D7:D9"/>
    <mergeCell ref="D10:D19"/>
    <mergeCell ref="E26:E27"/>
    <mergeCell ref="F26:F27"/>
    <mergeCell ref="G26:G27"/>
    <mergeCell ref="H26:H27"/>
    <mergeCell ref="D20:D26"/>
    <mergeCell ref="G48:L48"/>
    <mergeCell ref="F52:H52"/>
    <mergeCell ref="F53:H53"/>
    <mergeCell ref="C51:H51"/>
    <mergeCell ref="B27:C40"/>
    <mergeCell ref="I38:I39"/>
    <mergeCell ref="I26:I27"/>
    <mergeCell ref="B10:C26"/>
    <mergeCell ref="G46:L46"/>
    <mergeCell ref="G47:L47"/>
    <mergeCell ref="E38:E39"/>
    <mergeCell ref="F38:F39"/>
    <mergeCell ref="G38:G39"/>
    <mergeCell ref="H38:H39"/>
    <mergeCell ref="D39:D40"/>
    <mergeCell ref="D27:D38"/>
  </mergeCells>
  <conditionalFormatting sqref="G42">
    <cfRule type="cellIs" dxfId="1" priority="1" operator="greaterThan">
      <formula>1</formula>
    </cfRule>
    <cfRule type="cellIs" dxfId="0" priority="2" operator="lessThan">
      <formula>1</formula>
    </cfRule>
  </conditionalFormatting>
  <hyperlinks>
    <hyperlink ref="J1" r:id="rId1" xr:uid="{6DD2174B-D812-486C-A5BA-22548A72C272}"/>
  </hyperlinks>
  <pageMargins left="0.7" right="0.7" top="0.75" bottom="0.75" header="0.3" footer="0.3"/>
  <pageSetup paperSize="9" orientation="portrait" horizontalDpi="300" verticalDpi="30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DDB86-CABB-4E71-8E07-B3DE160F9984}">
  <sheetPr codeName="Tabelle2"/>
  <dimension ref="A1:G35"/>
  <sheetViews>
    <sheetView workbookViewId="0">
      <selection activeCell="L25" sqref="L25"/>
    </sheetView>
  </sheetViews>
  <sheetFormatPr baseColWidth="10" defaultColWidth="11.44140625" defaultRowHeight="14.4" x14ac:dyDescent="0.3"/>
  <cols>
    <col min="7" max="7" width="95.77734375" customWidth="1"/>
  </cols>
  <sheetData>
    <row r="1" spans="1:7" x14ac:dyDescent="0.3">
      <c r="A1" s="36" t="s">
        <v>10</v>
      </c>
      <c r="B1" s="37" t="s">
        <v>11</v>
      </c>
      <c r="E1" s="5"/>
      <c r="F1" s="5"/>
      <c r="G1" s="5"/>
    </row>
    <row r="2" spans="1:7" x14ac:dyDescent="0.3">
      <c r="A2" s="37">
        <v>90</v>
      </c>
      <c r="B2" s="37">
        <v>95.4</v>
      </c>
      <c r="D2" s="5"/>
      <c r="E2" s="10"/>
    </row>
    <row r="3" spans="1:7" x14ac:dyDescent="0.3">
      <c r="A3" s="37">
        <v>63</v>
      </c>
      <c r="B3" s="37">
        <v>90.2</v>
      </c>
      <c r="D3" s="5"/>
      <c r="E3" s="10"/>
    </row>
    <row r="4" spans="1:7" x14ac:dyDescent="0.3">
      <c r="A4" s="37">
        <v>45</v>
      </c>
      <c r="B4" s="37">
        <v>82.6</v>
      </c>
      <c r="D4" s="5"/>
      <c r="E4" s="10"/>
    </row>
    <row r="5" spans="1:7" x14ac:dyDescent="0.3">
      <c r="A5" s="37">
        <v>31.5</v>
      </c>
      <c r="B5" s="37">
        <v>76.599999999999994</v>
      </c>
    </row>
    <row r="6" spans="1:7" x14ac:dyDescent="0.3">
      <c r="A6" s="37">
        <v>22.4</v>
      </c>
      <c r="B6" s="37">
        <v>68.7</v>
      </c>
    </row>
    <row r="7" spans="1:7" x14ac:dyDescent="0.3">
      <c r="A7" s="37">
        <v>16</v>
      </c>
      <c r="B7" s="37">
        <v>59</v>
      </c>
      <c r="D7" s="5"/>
      <c r="F7" s="11"/>
    </row>
    <row r="8" spans="1:7" x14ac:dyDescent="0.3">
      <c r="A8" s="37">
        <v>11.2</v>
      </c>
      <c r="B8" s="37">
        <v>50</v>
      </c>
      <c r="D8" s="5"/>
      <c r="F8" s="11"/>
    </row>
    <row r="9" spans="1:7" x14ac:dyDescent="0.3">
      <c r="A9" s="37">
        <v>8</v>
      </c>
      <c r="B9" s="37">
        <v>42.8</v>
      </c>
    </row>
    <row r="10" spans="1:7" x14ac:dyDescent="0.3">
      <c r="A10" s="37">
        <v>5.6</v>
      </c>
      <c r="B10" s="37">
        <v>36.5</v>
      </c>
    </row>
    <row r="11" spans="1:7" x14ac:dyDescent="0.3">
      <c r="A11" s="37">
        <v>4</v>
      </c>
      <c r="B11" s="37">
        <v>32.5</v>
      </c>
    </row>
    <row r="12" spans="1:7" x14ac:dyDescent="0.3">
      <c r="A12" s="37">
        <v>2</v>
      </c>
      <c r="B12" s="37">
        <v>25.9</v>
      </c>
    </row>
    <row r="13" spans="1:7" x14ac:dyDescent="0.3">
      <c r="A13" s="37">
        <v>1</v>
      </c>
      <c r="B13" s="37">
        <v>20.7</v>
      </c>
    </row>
    <row r="14" spans="1:7" x14ac:dyDescent="0.3">
      <c r="A14" s="37">
        <v>0.5</v>
      </c>
      <c r="B14" s="37">
        <v>16</v>
      </c>
    </row>
    <row r="15" spans="1:7" x14ac:dyDescent="0.3">
      <c r="A15" s="37">
        <v>0.25</v>
      </c>
      <c r="B15" s="37">
        <v>11.6</v>
      </c>
    </row>
    <row r="16" spans="1:7" x14ac:dyDescent="0.3">
      <c r="A16" s="37">
        <v>0.2</v>
      </c>
      <c r="B16" s="37">
        <v>10.7</v>
      </c>
    </row>
    <row r="17" spans="1:2" x14ac:dyDescent="0.3">
      <c r="A17" s="37">
        <v>0.05</v>
      </c>
      <c r="B17" s="37">
        <v>11.6</v>
      </c>
    </row>
    <row r="18" spans="1:2" x14ac:dyDescent="0.3">
      <c r="A18" s="37">
        <v>0.02</v>
      </c>
      <c r="B18" s="37">
        <v>8.1</v>
      </c>
    </row>
    <row r="19" spans="1:2" x14ac:dyDescent="0.3">
      <c r="A19" s="37">
        <v>2E-3</v>
      </c>
      <c r="B19" s="37">
        <v>2.6</v>
      </c>
    </row>
    <row r="20" spans="1:2" x14ac:dyDescent="0.3">
      <c r="A20" s="37">
        <v>0</v>
      </c>
      <c r="B20" s="37">
        <v>0</v>
      </c>
    </row>
    <row r="21" spans="1:2" x14ac:dyDescent="0.3">
      <c r="A21" s="37">
        <v>0</v>
      </c>
      <c r="B21" s="37">
        <v>0</v>
      </c>
    </row>
    <row r="22" spans="1:2" x14ac:dyDescent="0.3">
      <c r="A22" s="37">
        <v>0</v>
      </c>
      <c r="B22" s="37">
        <v>0</v>
      </c>
    </row>
    <row r="23" spans="1:2" x14ac:dyDescent="0.3">
      <c r="A23" s="37">
        <v>0</v>
      </c>
      <c r="B23" s="37">
        <v>0</v>
      </c>
    </row>
    <row r="24" spans="1:2" x14ac:dyDescent="0.3">
      <c r="A24" s="37">
        <v>0</v>
      </c>
      <c r="B24" s="37">
        <v>0</v>
      </c>
    </row>
    <row r="25" spans="1:2" x14ac:dyDescent="0.3">
      <c r="A25" s="37">
        <v>0</v>
      </c>
      <c r="B25" s="37">
        <v>0</v>
      </c>
    </row>
    <row r="26" spans="1:2" x14ac:dyDescent="0.3">
      <c r="A26" s="37">
        <v>0</v>
      </c>
      <c r="B26" s="37">
        <v>0</v>
      </c>
    </row>
    <row r="27" spans="1:2" x14ac:dyDescent="0.3">
      <c r="A27" s="37">
        <v>0</v>
      </c>
      <c r="B27" s="37">
        <v>0</v>
      </c>
    </row>
    <row r="28" spans="1:2" x14ac:dyDescent="0.3">
      <c r="A28" s="37">
        <v>0</v>
      </c>
      <c r="B28" s="37">
        <v>0</v>
      </c>
    </row>
    <row r="29" spans="1:2" x14ac:dyDescent="0.3">
      <c r="A29" s="37">
        <v>0</v>
      </c>
      <c r="B29" s="37">
        <v>0</v>
      </c>
    </row>
    <row r="30" spans="1:2" x14ac:dyDescent="0.3">
      <c r="A30" s="37">
        <v>0</v>
      </c>
      <c r="B30" s="37">
        <v>0</v>
      </c>
    </row>
    <row r="31" spans="1:2" x14ac:dyDescent="0.3">
      <c r="A31" s="37">
        <v>0</v>
      </c>
      <c r="B31" s="37">
        <v>0</v>
      </c>
    </row>
    <row r="32" spans="1:2" x14ac:dyDescent="0.3">
      <c r="A32" s="37">
        <v>0</v>
      </c>
      <c r="B32" s="37">
        <v>0</v>
      </c>
    </row>
    <row r="33" spans="1:2" x14ac:dyDescent="0.3">
      <c r="A33" s="37">
        <v>0</v>
      </c>
      <c r="B33" s="37">
        <v>0</v>
      </c>
    </row>
    <row r="34" spans="1:2" x14ac:dyDescent="0.3">
      <c r="A34" s="37"/>
      <c r="B34" s="37"/>
    </row>
    <row r="35" spans="1:2" x14ac:dyDescent="0.3">
      <c r="A35" s="37"/>
      <c r="B35" s="37"/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Siebkurve</vt:lpstr>
      <vt:lpstr>Siebgrössen_gefiltert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Meile Jeremy</cp:lastModifiedBy>
  <dcterms:created xsi:type="dcterms:W3CDTF">2025-02-18T17:12:21Z</dcterms:created>
  <dcterms:modified xsi:type="dcterms:W3CDTF">2025-02-21T10:23:19Z</dcterms:modified>
</cp:coreProperties>
</file>