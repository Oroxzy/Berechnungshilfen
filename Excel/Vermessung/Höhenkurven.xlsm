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Vermessung/"/>
    </mc:Choice>
  </mc:AlternateContent>
  <xr:revisionPtr revIDLastSave="0" documentId="13_ncr:1_{650F713A-8965-D643-A766-69FE47D5F08C}" xr6:coauthVersionLast="47" xr6:coauthVersionMax="47" xr10:uidLastSave="{00000000-0000-0000-0000-000000000000}"/>
  <bookViews>
    <workbookView xWindow="0" yWindow="780" windowWidth="34200" windowHeight="20140" xr2:uid="{44AE559A-F458-9340-9511-77C3C2ABC50C}"/>
  </bookViews>
  <sheets>
    <sheet name="Tabelle1" sheetId="1" r:id="rId1"/>
  </sheets>
  <definedNames>
    <definedName name="_xlchart.v1.0" hidden="1">Tabelle1!$K$5</definedName>
    <definedName name="_xlchart.v1.1" hidden="1">Tabelle1!$K$6</definedName>
    <definedName name="_xlchart.v1.10" hidden="1">Tabelle1!$K$5</definedName>
    <definedName name="_xlchart.v1.11" hidden="1">Tabelle1!$K$6</definedName>
    <definedName name="_xlchart.v1.12" hidden="1">Tabelle1!$K$5</definedName>
    <definedName name="_xlchart.v1.13" hidden="1">Tabelle1!$K$6</definedName>
    <definedName name="_xlchart.v1.2" hidden="1">Tabelle1!$K$5</definedName>
    <definedName name="_xlchart.v1.3" hidden="1">Tabelle1!$K$6</definedName>
    <definedName name="_xlchart.v1.4" hidden="1">Tabelle1!$K$5</definedName>
    <definedName name="_xlchart.v1.5" hidden="1">Tabelle1!$K$6</definedName>
    <definedName name="_xlchart.v1.6" hidden="1">Tabelle1!$K$5</definedName>
    <definedName name="_xlchart.v1.7" hidden="1">Tabelle1!$K$6</definedName>
    <definedName name="_xlchart.v1.8" hidden="1">Tabelle1!$K$5</definedName>
    <definedName name="_xlchart.v1.9" hidden="1">Tabelle1!$K$6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/>
  <c r="O36" i="1"/>
  <c r="O32" i="1"/>
  <c r="O28" i="1"/>
  <c r="O24" i="1"/>
  <c r="O20" i="1"/>
  <c r="O16" i="1"/>
  <c r="O12" i="1"/>
  <c r="O11" i="1"/>
  <c r="N12" i="1"/>
  <c r="K5" i="1"/>
  <c r="N36" i="1"/>
  <c r="N32" i="1"/>
  <c r="N28" i="1"/>
  <c r="N24" i="1"/>
  <c r="N20" i="1"/>
  <c r="N16" i="1"/>
  <c r="N11" i="1"/>
  <c r="D16" i="1"/>
  <c r="F16" i="1"/>
  <c r="H16" i="1"/>
  <c r="J16" i="1"/>
  <c r="L16" i="1"/>
  <c r="D20" i="1"/>
  <c r="F20" i="1"/>
  <c r="H20" i="1"/>
  <c r="J20" i="1"/>
  <c r="L20" i="1"/>
  <c r="D24" i="1"/>
  <c r="F24" i="1"/>
  <c r="H24" i="1"/>
  <c r="J24" i="1"/>
  <c r="L24" i="1"/>
  <c r="L28" i="1"/>
  <c r="J28" i="1"/>
  <c r="D28" i="1"/>
  <c r="F28" i="1"/>
  <c r="M28" i="1"/>
  <c r="H28" i="1"/>
  <c r="D32" i="1"/>
  <c r="F32" i="1"/>
  <c r="H32" i="1"/>
  <c r="J32" i="1"/>
  <c r="L32" i="1"/>
  <c r="I29" i="1" l="1"/>
  <c r="C39" i="1" l="1"/>
  <c r="E39" i="1"/>
  <c r="G39" i="1"/>
  <c r="I39" i="1"/>
  <c r="K39" i="1"/>
  <c r="C38" i="1"/>
  <c r="E38" i="1"/>
  <c r="G38" i="1"/>
  <c r="I38" i="1"/>
  <c r="K38" i="1"/>
  <c r="C35" i="1"/>
  <c r="E35" i="1"/>
  <c r="G35" i="1"/>
  <c r="I35" i="1"/>
  <c r="K35" i="1"/>
  <c r="C34" i="1"/>
  <c r="E34" i="1"/>
  <c r="G34" i="1"/>
  <c r="I34" i="1"/>
  <c r="K34" i="1"/>
  <c r="C33" i="1"/>
  <c r="E33" i="1"/>
  <c r="G33" i="1"/>
  <c r="I33" i="1"/>
  <c r="K33" i="1"/>
  <c r="C31" i="1"/>
  <c r="E31" i="1"/>
  <c r="G31" i="1"/>
  <c r="I31" i="1"/>
  <c r="K31" i="1"/>
  <c r="C30" i="1"/>
  <c r="E30" i="1"/>
  <c r="G30" i="1"/>
  <c r="I30" i="1"/>
  <c r="K30" i="1"/>
  <c r="C37" i="1"/>
  <c r="E37" i="1"/>
  <c r="G37" i="1"/>
  <c r="I37" i="1"/>
  <c r="L37" i="1"/>
  <c r="K37" i="1"/>
  <c r="C25" i="1"/>
  <c r="C26" i="1" s="1"/>
  <c r="C27" i="1" s="1"/>
  <c r="E25" i="1"/>
  <c r="E26" i="1" s="1"/>
  <c r="E27" i="1" s="1"/>
  <c r="G25" i="1"/>
  <c r="G26" i="1" s="1"/>
  <c r="G27" i="1" s="1"/>
  <c r="I25" i="1"/>
  <c r="I26" i="1" s="1"/>
  <c r="I27" i="1" s="1"/>
  <c r="M25" i="1"/>
  <c r="M26" i="1" s="1"/>
  <c r="M27" i="1" s="1"/>
  <c r="K25" i="1"/>
  <c r="K26" i="1" s="1"/>
  <c r="K27" i="1" s="1"/>
  <c r="C29" i="1"/>
  <c r="E29" i="1"/>
  <c r="G29" i="1"/>
  <c r="K29" i="1"/>
  <c r="C21" i="1"/>
  <c r="C22" i="1" s="1"/>
  <c r="C23" i="1" s="1"/>
  <c r="E21" i="1"/>
  <c r="E22" i="1" s="1"/>
  <c r="E23" i="1" s="1"/>
  <c r="G21" i="1"/>
  <c r="G22" i="1" s="1"/>
  <c r="G23" i="1" s="1"/>
  <c r="I21" i="1"/>
  <c r="I22" i="1" s="1"/>
  <c r="I23" i="1" s="1"/>
  <c r="K21" i="1"/>
  <c r="K22" i="1" s="1"/>
  <c r="K23" i="1" s="1"/>
  <c r="C13" i="1"/>
  <c r="C14" i="1" s="1"/>
  <c r="C15" i="1" s="1"/>
  <c r="E13" i="1"/>
  <c r="E14" i="1" s="1"/>
  <c r="E15" i="1" s="1"/>
  <c r="G13" i="1"/>
  <c r="G14" i="1" s="1"/>
  <c r="G15" i="1" s="1"/>
  <c r="K13" i="1"/>
  <c r="I13" i="1"/>
  <c r="I14" i="1" s="1"/>
  <c r="I15" i="1" s="1"/>
  <c r="C17" i="1"/>
  <c r="C18" i="1" s="1"/>
  <c r="C19" i="1" s="1"/>
  <c r="E17" i="1"/>
  <c r="E18" i="1" s="1"/>
  <c r="E19" i="1" s="1"/>
  <c r="G17" i="1"/>
  <c r="G18" i="1" s="1"/>
  <c r="G19" i="1" s="1"/>
  <c r="K17" i="1"/>
  <c r="K18" i="1" s="1"/>
  <c r="K19" i="1" s="1"/>
  <c r="I17" i="1"/>
  <c r="I18" i="1" s="1"/>
  <c r="I19" i="1" s="1"/>
  <c r="K14" i="1" l="1"/>
  <c r="K15" i="1" s="1"/>
</calcChain>
</file>

<file path=xl/sharedStrings.xml><?xml version="1.0" encoding="utf-8"?>
<sst xmlns="http://schemas.openxmlformats.org/spreadsheetml/2006/main" count="45" uniqueCount="19">
  <si>
    <t>Höhe</t>
  </si>
  <si>
    <t>D (m)</t>
  </si>
  <si>
    <t xml:space="preserve">D (m) </t>
  </si>
  <si>
    <t xml:space="preserve">rasterbreit </t>
  </si>
  <si>
    <t>m</t>
  </si>
  <si>
    <t>h1</t>
  </si>
  <si>
    <t>d1</t>
  </si>
  <si>
    <t>Gewählte H</t>
  </si>
  <si>
    <t>A</t>
  </si>
  <si>
    <t>B</t>
  </si>
  <si>
    <t>C</t>
  </si>
  <si>
    <t>D</t>
  </si>
  <si>
    <t>E</t>
  </si>
  <si>
    <t>F</t>
  </si>
  <si>
    <t>G</t>
  </si>
  <si>
    <t>H</t>
  </si>
  <si>
    <t>massatb</t>
  </si>
  <si>
    <t>rasterY</t>
  </si>
  <si>
    <t>rasterX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</si>
</sst>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#,##0.000"/>
  </numFmts>
  <fonts count="3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4" tint="0.79998168889431442"/>
        <bgColor rgb="FF000000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0" fillId="2" borderId="0" xfId="0" applyFill="1" applyBorder="1"/>
    <xf numFmtId="168" fontId="0" fillId="4" borderId="0" xfId="0" applyNumberFormat="1" applyFill="1" applyBorder="1"/>
    <xf numFmtId="168" fontId="0" fillId="0" borderId="0" xfId="0" applyNumberFormat="1" applyBorder="1"/>
    <xf numFmtId="0" fontId="1" fillId="5" borderId="0" xfId="0" applyFont="1" applyFill="1" applyBorder="1"/>
    <xf numFmtId="0" fontId="1" fillId="6" borderId="0" xfId="0" applyFont="1" applyFill="1" applyBorder="1"/>
    <xf numFmtId="4" fontId="0" fillId="0" borderId="0" xfId="0" applyNumberFormat="1"/>
    <xf numFmtId="4" fontId="0" fillId="0" borderId="0" xfId="0" applyNumberFormat="1" applyBorder="1"/>
    <xf numFmtId="4" fontId="0" fillId="0" borderId="1" xfId="0" applyNumberFormat="1" applyBorder="1"/>
    <xf numFmtId="0" fontId="0" fillId="0" borderId="1" xfId="0" applyBorder="1"/>
    <xf numFmtId="4" fontId="0" fillId="0" borderId="2" xfId="0" applyNumberFormat="1" applyBorder="1"/>
    <xf numFmtId="4" fontId="0" fillId="0" borderId="3" xfId="0" applyNumberFormat="1" applyBorder="1"/>
    <xf numFmtId="0" fontId="0" fillId="0" borderId="3" xfId="0" applyBorder="1"/>
    <xf numFmtId="4" fontId="0" fillId="0" borderId="4" xfId="0" applyNumberFormat="1" applyBorder="1"/>
    <xf numFmtId="4" fontId="0" fillId="0" borderId="5" xfId="0" applyNumberFormat="1" applyBorder="1"/>
    <xf numFmtId="0" fontId="0" fillId="0" borderId="5" xfId="0" applyBorder="1"/>
    <xf numFmtId="4" fontId="0" fillId="0" borderId="6" xfId="0" applyNumberFormat="1" applyBorder="1"/>
    <xf numFmtId="0" fontId="2" fillId="0" borderId="1" xfId="0" applyFont="1" applyBorder="1"/>
    <xf numFmtId="4" fontId="2" fillId="0" borderId="1" xfId="0" applyNumberFormat="1" applyFont="1" applyBorder="1"/>
    <xf numFmtId="4" fontId="2" fillId="0" borderId="2" xfId="0" applyNumberFormat="1" applyFont="1" applyBorder="1"/>
    <xf numFmtId="4" fontId="0" fillId="0" borderId="7" xfId="0" applyNumberFormat="1" applyBorder="1"/>
    <xf numFmtId="168" fontId="0" fillId="4" borderId="3" xfId="0" applyNumberFormat="1" applyFill="1" applyBorder="1"/>
    <xf numFmtId="0" fontId="0" fillId="0" borderId="8" xfId="0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10" xfId="0" applyFont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Tabelle1!$K$6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CFB-9246-9FC9-256ADE96A1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Tabelle1!$K$5</c:f>
              <c:numCache>
                <c:formatCode>General</c:formatCode>
                <c:ptCount val="1"/>
                <c:pt idx="0">
                  <c:v>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CFB-9246-9FC9-256ADE96A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838608"/>
        <c:axId val="848840320"/>
      </c:scatterChart>
      <c:valAx>
        <c:axId val="84883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48840320"/>
        <c:crosses val="autoZero"/>
        <c:crossBetween val="midCat"/>
      </c:valAx>
      <c:valAx>
        <c:axId val="8488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4883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589280</xdr:colOff>
      <xdr:row>43</xdr:row>
      <xdr:rowOff>74505</xdr:rowOff>
    </xdr:from>
    <xdr:to>
      <xdr:col>12</xdr:col>
      <xdr:colOff>694266</xdr:colOff>
      <xdr:row>67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9A2B2817-90AD-6525-2DD4-083311BD2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768772</xdr:colOff>
      <xdr:row>6</xdr:row>
      <xdr:rowOff>169333</xdr:rowOff>
    </xdr:from>
    <xdr:to>
      <xdr:col>24</xdr:col>
      <xdr:colOff>632269</xdr:colOff>
      <xdr:row>29</xdr:row>
      <xdr:rowOff>16933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72BF557-8EB2-6DB2-4BE5-FCABD6131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7239" y="1388533"/>
          <a:ext cx="9820297" cy="4707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22F-1099-A647-AF35-F3EB28F6ECEE}">
  <sheetPr codeName="Tabelle1"/>
  <dimension ref="A3:O40"/>
  <sheetViews>
    <sheetView tabSelected="1" topLeftCell="A22" zoomScale="150" workbookViewId="0">
      <selection activeCell="K9" sqref="K9"/>
    </sheetView>
  </sheetViews>
  <sheetFormatPr baseColWidth="10" defaultRowHeight="16" x14ac:dyDescent="0.2"/>
  <cols>
    <col min="2" max="2" width="2.5" bestFit="1" customWidth="1"/>
    <col min="3" max="3" width="10.1640625" bestFit="1" customWidth="1"/>
    <col min="4" max="4" width="6.83203125" style="8" bestFit="1" customWidth="1"/>
    <col min="5" max="5" width="7.1640625" bestFit="1" customWidth="1"/>
    <col min="6" max="6" width="6" style="8" bestFit="1" customWidth="1"/>
    <col min="7" max="7" width="7.1640625" bestFit="1" customWidth="1"/>
    <col min="8" max="8" width="6" style="8" bestFit="1" customWidth="1"/>
    <col min="9" max="9" width="7.1640625" bestFit="1" customWidth="1"/>
    <col min="10" max="10" width="6" style="8" bestFit="1" customWidth="1"/>
    <col min="11" max="11" width="7.1640625" bestFit="1" customWidth="1"/>
    <col min="12" max="12" width="6" style="8" bestFit="1" customWidth="1"/>
  </cols>
  <sheetData>
    <row r="3" spans="1:15" x14ac:dyDescent="0.2">
      <c r="C3" t="s">
        <v>3</v>
      </c>
      <c r="D3" s="8">
        <v>5</v>
      </c>
      <c r="E3" t="s">
        <v>4</v>
      </c>
    </row>
    <row r="4" spans="1:15" x14ac:dyDescent="0.2">
      <c r="C4" t="s">
        <v>5</v>
      </c>
    </row>
    <row r="5" spans="1:15" x14ac:dyDescent="0.2">
      <c r="C5" t="s">
        <v>16</v>
      </c>
      <c r="D5" s="8">
        <v>250</v>
      </c>
      <c r="J5" s="8" t="s">
        <v>17</v>
      </c>
      <c r="K5">
        <f>SUM(N10:N40)</f>
        <v>8</v>
      </c>
    </row>
    <row r="6" spans="1:15" x14ac:dyDescent="0.2">
      <c r="J6" s="8" t="s">
        <v>18</v>
      </c>
      <c r="K6">
        <f>MAX(O10:O41)</f>
        <v>5</v>
      </c>
    </row>
    <row r="9" spans="1:15" ht="17" thickBot="1" x14ac:dyDescent="0.25"/>
    <row r="10" spans="1:15" ht="17" thickBot="1" x14ac:dyDescent="0.25">
      <c r="B10" s="24"/>
      <c r="C10" s="19" t="s">
        <v>0</v>
      </c>
      <c r="D10" s="20" t="s">
        <v>1</v>
      </c>
      <c r="E10" s="19" t="s">
        <v>0</v>
      </c>
      <c r="F10" s="20" t="s">
        <v>2</v>
      </c>
      <c r="G10" s="19" t="s">
        <v>0</v>
      </c>
      <c r="H10" s="20" t="s">
        <v>2</v>
      </c>
      <c r="I10" s="19" t="s">
        <v>0</v>
      </c>
      <c r="J10" s="20" t="s">
        <v>2</v>
      </c>
      <c r="K10" s="19" t="s">
        <v>0</v>
      </c>
      <c r="L10" s="21" t="s">
        <v>2</v>
      </c>
    </row>
    <row r="11" spans="1:15" x14ac:dyDescent="0.2">
      <c r="B11" s="25" t="s">
        <v>8</v>
      </c>
      <c r="C11" s="11"/>
      <c r="D11" s="10"/>
      <c r="E11" s="11"/>
      <c r="F11" s="10"/>
      <c r="G11" s="11"/>
      <c r="H11" s="10"/>
      <c r="I11" s="11">
        <v>422.68</v>
      </c>
      <c r="J11" s="10"/>
      <c r="K11" s="11">
        <v>422.59</v>
      </c>
      <c r="L11" s="12"/>
      <c r="M11" s="1"/>
      <c r="N11">
        <f>IF(COUNT(K11,I11,G11,E11,C11)=COUNTA(K11,I11,G11,E11,C11), 1, 0)</f>
        <v>1</v>
      </c>
      <c r="O11">
        <f>COUNT(K11,I11,G11,E11,C11)</f>
        <v>2</v>
      </c>
    </row>
    <row r="12" spans="1:15" ht="17" thickBot="1" x14ac:dyDescent="0.25">
      <c r="B12" s="25" t="s">
        <v>9</v>
      </c>
      <c r="C12" s="14"/>
      <c r="D12" s="13"/>
      <c r="E12" s="14"/>
      <c r="F12" s="13"/>
      <c r="G12" s="14"/>
      <c r="H12" s="13"/>
      <c r="I12" s="14">
        <v>423.35</v>
      </c>
      <c r="J12" s="13"/>
      <c r="K12" s="14">
        <v>423.2</v>
      </c>
      <c r="L12" s="15"/>
      <c r="M12" s="1"/>
      <c r="N12">
        <f>IF(COUNT(K12,I12,G12,E12,C12)=COUNTA(K12,I12,G12,E12,C12), 1, 0)</f>
        <v>1</v>
      </c>
      <c r="O12">
        <f>COUNT(K12,I12,G12,E12,C12)</f>
        <v>2</v>
      </c>
    </row>
    <row r="13" spans="1:15" x14ac:dyDescent="0.2">
      <c r="A13" t="s">
        <v>7</v>
      </c>
      <c r="B13" s="25"/>
      <c r="C13" s="2" t="str">
        <f t="shared" ref="C13" si="0">IF(AND(ISNUMBER(C11), ISNUMBER(C12), ROUND((C11+C12)/2, 0)&gt;=MIN(C11,C12), ROUND((C11+C12)/2, 0)&lt;=MAX(C11,C12)), ROUND((C11+C12)/2, 0), "")</f>
        <v/>
      </c>
      <c r="D13" s="9"/>
      <c r="E13" s="2" t="str">
        <f t="shared" ref="E13" si="1">IF(AND(ISNUMBER(E11), ISNUMBER(E12), ROUND((E11+E12)/2, 0)&gt;=MIN(E11,E12), ROUND((E11+E12)/2, 0)&lt;=MAX(E11,E12)), ROUND((E11+E12)/2, 0), "")</f>
        <v/>
      </c>
      <c r="F13" s="9"/>
      <c r="G13" s="2" t="str">
        <f t="shared" ref="G13" si="2">IF(AND(ISNUMBER(G11), ISNUMBER(G12), ROUND((G11+G12)/2, 0)&gt;=MIN(G11,G12), ROUND((G11+G12)/2, 0)&lt;=MAX(G11,G12)), ROUND((G11+G12)/2, 0), "")</f>
        <v/>
      </c>
      <c r="H13" s="9"/>
      <c r="I13" s="2">
        <f>IF(AND(ISNUMBER(I11), ISNUMBER(I12), ROUND((I11+I12)/2, 0)&gt;=MIN(I11,I12), ROUND((I11+I12)/2, 0)&lt;=MAX(I11,I12)), ROUND((I11+I12)/2, 0), "")</f>
        <v>423</v>
      </c>
      <c r="J13" s="9"/>
      <c r="K13" s="2">
        <f t="shared" ref="K13" si="3">IF(AND(ISNUMBER(K11), ISNUMBER(K12), ROUND((K11+K12)/2, 0)&gt;=MIN(K11,K12), ROUND((K11+K12)/2, 0)&lt;=MAX(K11,K12)), ROUND((K11+K12)/2, 0), "")</f>
        <v>423</v>
      </c>
      <c r="L13" s="22"/>
      <c r="M13" s="1"/>
    </row>
    <row r="14" spans="1:15" x14ac:dyDescent="0.2">
      <c r="A14" t="s">
        <v>5</v>
      </c>
      <c r="B14" s="25"/>
      <c r="C14" s="3" t="str">
        <f t="shared" ref="C14:E14" si="4">IF(AND(ISNUMBER(C13), ISNUMBER(C11)), C13-C11, "")</f>
        <v/>
      </c>
      <c r="D14" s="9"/>
      <c r="E14" s="3" t="str">
        <f t="shared" si="4"/>
        <v/>
      </c>
      <c r="F14" s="9"/>
      <c r="G14" s="3" t="str">
        <f t="shared" ref="G14" si="5">IF(AND(ISNUMBER(G13), ISNUMBER(G11)), G13-G11, "")</f>
        <v/>
      </c>
      <c r="H14" s="9"/>
      <c r="I14" s="3">
        <f>IF(AND(ISNUMBER(I13), ISNUMBER(I11)), I13-I11, "")</f>
        <v>0.31999999999999318</v>
      </c>
      <c r="J14" s="9"/>
      <c r="K14" s="3">
        <f t="shared" ref="K14" si="6">IF(AND(ISNUMBER(K13), ISNUMBER(K11)), K13-K11, "")</f>
        <v>0.41000000000002501</v>
      </c>
      <c r="L14" s="22"/>
      <c r="M14" s="1"/>
    </row>
    <row r="15" spans="1:15" ht="17" thickBot="1" x14ac:dyDescent="0.25">
      <c r="A15" t="s">
        <v>6</v>
      </c>
      <c r="B15" s="25"/>
      <c r="C15" s="4" t="str">
        <f t="shared" ref="C15" si="7">IF(AND(ISNUMBER($D$3), ISNUMBER(C14), ISNUMBER(C12), ISNUMBER(C11), C12&lt;&gt;C11), ($D$3*C14)/(C12-C11), "")</f>
        <v/>
      </c>
      <c r="D15" s="9"/>
      <c r="E15" s="4" t="str">
        <f t="shared" ref="E15" si="8">IF(AND(ISNUMBER($D$3), ISNUMBER(E14), ISNUMBER(E12), ISNUMBER(E11), E12&lt;&gt;E11), ($D$3*E14)/(E12-E11), "")</f>
        <v/>
      </c>
      <c r="F15" s="9"/>
      <c r="G15" s="4" t="str">
        <f t="shared" ref="G15" si="9">IF(AND(ISNUMBER($D$3), ISNUMBER(G14), ISNUMBER(G12), ISNUMBER(G11), G12&lt;&gt;G11), ($D$3*G14)/(G12-G11), "")</f>
        <v/>
      </c>
      <c r="H15" s="9"/>
      <c r="I15" s="4">
        <f>IF(AND(ISNUMBER($D$3), ISNUMBER(I14), ISNUMBER(I12), ISNUMBER(I11), I12&lt;&gt;I11), ($D$3*I14)/(I12-I11), "")</f>
        <v>2.3880597014924296</v>
      </c>
      <c r="J15" s="9"/>
      <c r="K15" s="4">
        <f t="shared" ref="K15" si="10">IF(AND(ISNUMBER($D$3), ISNUMBER(K14), ISNUMBER(K12), ISNUMBER(K11), K12&lt;&gt;K11), ($D$3*K14)/(K12-K11), "")</f>
        <v>3.3606557377050477</v>
      </c>
      <c r="L15" s="22"/>
      <c r="M15" s="1"/>
    </row>
    <row r="16" spans="1:15" ht="17" thickBot="1" x14ac:dyDescent="0.25">
      <c r="B16" s="25" t="s">
        <v>10</v>
      </c>
      <c r="C16" s="17"/>
      <c r="D16" s="16" t="str">
        <f>C23</f>
        <v/>
      </c>
      <c r="E16" s="17"/>
      <c r="F16" s="16" t="str">
        <f>E23</f>
        <v/>
      </c>
      <c r="G16" s="17">
        <v>423.8</v>
      </c>
      <c r="H16" s="16">
        <f>G23</f>
        <v>1.6393442622949521</v>
      </c>
      <c r="I16" s="17">
        <v>423.86</v>
      </c>
      <c r="J16" s="16">
        <f>I23</f>
        <v>1.3999999999998636</v>
      </c>
      <c r="K16" s="17">
        <v>423.85</v>
      </c>
      <c r="L16" s="18">
        <f>K23</f>
        <v>1.470588235293921</v>
      </c>
      <c r="M16" s="1"/>
      <c r="N16">
        <f>IF(COUNT(K16,I16,G16,E16,C16)=COUNTA(K16,I16,G16,E16,C16), 1, 0)</f>
        <v>1</v>
      </c>
      <c r="O16">
        <f>COUNT(K16,I16,G16,E16,C16)</f>
        <v>3</v>
      </c>
    </row>
    <row r="17" spans="1:15" x14ac:dyDescent="0.2">
      <c r="A17" t="s">
        <v>7</v>
      </c>
      <c r="B17" s="25"/>
      <c r="C17" s="2" t="str">
        <f>IF(AND(ISNUMBER(C12), ISNUMBER(C16), ROUND((C12+C16)/2, 0)&gt;=MIN(C12,C16), ROUND((C12+C16)/2, 0)&lt;=MAX(C12,C16)), ROUND((C12+C16)/2, 0), "")</f>
        <v/>
      </c>
      <c r="D17" s="9"/>
      <c r="E17" s="2" t="str">
        <f>IF(AND(ISNUMBER(E12), ISNUMBER(E16), ROUND((E12+E16)/2, 0)&gt;=MIN(E12,E16), ROUND((E12+E16)/2, 0)&lt;=MAX(E12,E16)), ROUND((E12+E16)/2, 0), "")</f>
        <v/>
      </c>
      <c r="F17" s="9"/>
      <c r="G17" s="2" t="str">
        <f>IF(AND(ISNUMBER(G12), ISNUMBER(G16), ROUND((G12+G16)/2, 0)&gt;=MIN(G12,G16), ROUND((G12+G16)/2, 0)&lt;=MAX(G12,G16)), ROUND((G12+G16)/2, 0), "")</f>
        <v/>
      </c>
      <c r="H17" s="9"/>
      <c r="I17" s="2" t="str">
        <f>IF(AND(ISNUMBER(I12), ISNUMBER(I16), ROUND((I12+I16)/2, 0)&gt;=MIN(I12,I16), ROUND((I12+I16)/2, 0)&lt;=MAX(I12,I16)), ROUND((I12+I16)/2, 0), "")</f>
        <v/>
      </c>
      <c r="J17" s="9"/>
      <c r="K17" s="2" t="str">
        <f>IF(AND(ISNUMBER(K12), ISNUMBER(K16), ROUND((K12+K16)/2, 0)&gt;=MIN(K12,K16), ROUND((K12+K16)/2, 0)&lt;=MAX(K12,K16)), ROUND((K12+K16)/2, 0), "")</f>
        <v/>
      </c>
      <c r="L17" s="22"/>
      <c r="M17" s="1"/>
    </row>
    <row r="18" spans="1:15" x14ac:dyDescent="0.2">
      <c r="A18" t="s">
        <v>5</v>
      </c>
      <c r="B18" s="25"/>
      <c r="C18" s="3" t="str">
        <f>IF(AND(ISNUMBER(C17), ISNUMBER(C12)), C17-C12, "")</f>
        <v/>
      </c>
      <c r="D18" s="9"/>
      <c r="E18" s="3" t="str">
        <f>IF(AND(ISNUMBER(E17), ISNUMBER(E12)), E17-E12, "")</f>
        <v/>
      </c>
      <c r="F18" s="9"/>
      <c r="G18" s="3" t="str">
        <f>IF(AND(ISNUMBER(G17), ISNUMBER(G12)), G17-G12, "")</f>
        <v/>
      </c>
      <c r="H18" s="9"/>
      <c r="I18" s="3" t="str">
        <f>IF(AND(ISNUMBER(I17), ISNUMBER(I12)), I17-I12, "")</f>
        <v/>
      </c>
      <c r="J18" s="9"/>
      <c r="K18" s="3" t="str">
        <f>IF(AND(ISNUMBER(K17), ISNUMBER(K12)), K17-K12, "")</f>
        <v/>
      </c>
      <c r="L18" s="22"/>
      <c r="M18" s="1"/>
    </row>
    <row r="19" spans="1:15" ht="17" thickBot="1" x14ac:dyDescent="0.25">
      <c r="A19" t="s">
        <v>6</v>
      </c>
      <c r="B19" s="25"/>
      <c r="C19" s="4" t="str">
        <f t="shared" ref="C19" si="11">IF(AND(ISNUMBER($D$3), ISNUMBER(C18), ISNUMBER(C16), ISNUMBER(C12), C16&lt;&gt;C12), ($D$3*C18)/(C16-C12), "")</f>
        <v/>
      </c>
      <c r="D19" s="9"/>
      <c r="E19" s="4" t="str">
        <f t="shared" ref="E19" si="12">IF(AND(ISNUMBER($D$3), ISNUMBER(E18), ISNUMBER(E16), ISNUMBER(E12), E16&lt;&gt;E12), ($D$3*E18)/(E16-E12), "")</f>
        <v/>
      </c>
      <c r="F19" s="9"/>
      <c r="G19" s="4" t="str">
        <f t="shared" ref="G19" si="13">IF(AND(ISNUMBER($D$3), ISNUMBER(G18), ISNUMBER(G16), ISNUMBER(G12), G16&lt;&gt;G12), ($D$3*G18)/(G16-G12), "")</f>
        <v/>
      </c>
      <c r="H19" s="9"/>
      <c r="I19" s="4" t="str">
        <f>IF(AND(ISNUMBER($D$3), ISNUMBER(I18), ISNUMBER(I16), ISNUMBER(I12), I16&lt;&gt;I12), ($D$3*I18)/(I16-I12), "")</f>
        <v/>
      </c>
      <c r="J19" s="9"/>
      <c r="K19" s="4" t="str">
        <f t="shared" ref="K19" si="14">IF(AND(ISNUMBER($D$3), ISNUMBER(K18), ISNUMBER(K16), ISNUMBER(K12), K16&lt;&gt;K12), ($D$3*K18)/(K16-K12), "")</f>
        <v/>
      </c>
      <c r="L19" s="22"/>
      <c r="M19" s="1"/>
    </row>
    <row r="20" spans="1:15" ht="17" thickBot="1" x14ac:dyDescent="0.25">
      <c r="B20" s="25" t="s">
        <v>11</v>
      </c>
      <c r="C20" s="17">
        <v>424.86</v>
      </c>
      <c r="D20" s="16">
        <f>C27</f>
        <v>3.0434782608697799</v>
      </c>
      <c r="E20" s="17">
        <v>424.5</v>
      </c>
      <c r="F20" s="16" t="str">
        <f>E27</f>
        <v/>
      </c>
      <c r="G20" s="17">
        <v>424.41</v>
      </c>
      <c r="H20" s="16">
        <f>G27</f>
        <v>2.7570093457942932</v>
      </c>
      <c r="I20" s="17">
        <v>424.36</v>
      </c>
      <c r="J20" s="16">
        <f>I27</f>
        <v>3.1999999999999318</v>
      </c>
      <c r="K20" s="17">
        <v>424.36</v>
      </c>
      <c r="L20" s="18">
        <f>K27</f>
        <v>3.5955056179775067</v>
      </c>
      <c r="M20" s="1"/>
      <c r="N20">
        <f>IF(COUNT(K20,I20,G20,E20,C20)=COUNTA(K20,I20,G20,E20,C20), 1, 0)</f>
        <v>1</v>
      </c>
      <c r="O20">
        <f>COUNT(K20,I20,G20,E20,C20)</f>
        <v>5</v>
      </c>
    </row>
    <row r="21" spans="1:15" x14ac:dyDescent="0.2">
      <c r="A21" t="s">
        <v>7</v>
      </c>
      <c r="B21" s="25"/>
      <c r="C21" s="2" t="str">
        <f t="shared" ref="C21:I21" si="15">IF(AND(ISNUMBER(C16), ISNUMBER(C20), ROUND((C16+C20)/2, 0)&gt;=MIN(C16,C20), ROUND((C16+C20)/2, 0)&lt;=MAX(C16,C20)), ROUND((C16+C20)/2, 0), "")</f>
        <v/>
      </c>
      <c r="D21" s="9"/>
      <c r="E21" s="2" t="str">
        <f t="shared" si="15"/>
        <v/>
      </c>
      <c r="F21" s="9"/>
      <c r="G21" s="2">
        <f t="shared" si="15"/>
        <v>424</v>
      </c>
      <c r="H21" s="9"/>
      <c r="I21" s="2">
        <f t="shared" si="15"/>
        <v>424</v>
      </c>
      <c r="J21" s="9"/>
      <c r="K21" s="2">
        <f>IF(AND(ISNUMBER(K16), ISNUMBER(K20), ROUND((K16+K20)/2, 0)&gt;=MIN(K16,K20), ROUND((K16+K20)/2, 0)&lt;=MAX(K16,K20)), ROUND((K16+K20)/2, 0), "")</f>
        <v>424</v>
      </c>
      <c r="L21" s="22"/>
      <c r="M21" s="1"/>
    </row>
    <row r="22" spans="1:15" x14ac:dyDescent="0.2">
      <c r="A22" t="s">
        <v>5</v>
      </c>
      <c r="B22" s="25"/>
      <c r="C22" s="3" t="str">
        <f>IF(AND(ISNUMBER(C21), ISNUMBER(C16)), C21-C16, "")</f>
        <v/>
      </c>
      <c r="D22" s="9"/>
      <c r="E22" s="3" t="str">
        <f>IF(AND(ISNUMBER(E21), ISNUMBER(E16)), E21-E16, "")</f>
        <v/>
      </c>
      <c r="F22" s="9"/>
      <c r="G22" s="3">
        <f>IF(AND(ISNUMBER(G21), ISNUMBER(G16)), G21-G16, "")</f>
        <v>0.19999999999998863</v>
      </c>
      <c r="H22" s="9"/>
      <c r="I22" s="3">
        <f>IF(AND(ISNUMBER(I21), ISNUMBER(I16)), I21-I16, "")</f>
        <v>0.13999999999998636</v>
      </c>
      <c r="J22" s="9"/>
      <c r="K22" s="3">
        <f>IF(AND(ISNUMBER(K21), ISNUMBER(K16)), K21-K16, "")</f>
        <v>0.14999999999997726</v>
      </c>
      <c r="L22" s="22"/>
      <c r="M22" s="1"/>
    </row>
    <row r="23" spans="1:15" ht="17" thickBot="1" x14ac:dyDescent="0.25">
      <c r="A23" t="s">
        <v>6</v>
      </c>
      <c r="B23" s="25"/>
      <c r="C23" s="4" t="str">
        <f>IF(AND(ISNUMBER($D$3), ISNUMBER(C22), ISNUMBER(C20), ISNUMBER(C16), C20&lt;&gt;C16), ($D$3*C22)/(C20-C16), "")</f>
        <v/>
      </c>
      <c r="D23" s="9"/>
      <c r="E23" s="4" t="str">
        <f>IF(AND(ISNUMBER($D$3), ISNUMBER(E22), ISNUMBER(E20), ISNUMBER(E16), E20&lt;&gt;E16), ($D$3*E22)/(E20-E16), "")</f>
        <v/>
      </c>
      <c r="F23" s="9"/>
      <c r="G23" s="4">
        <f>IF(AND(ISNUMBER($D$3), ISNUMBER(G22), ISNUMBER(G20), ISNUMBER(G16), G20&lt;&gt;G16), ($D$3*G22)/(G20-G16), "")</f>
        <v>1.6393442622949521</v>
      </c>
      <c r="H23" s="9"/>
      <c r="I23" s="4">
        <f>IF(AND(ISNUMBER($D$3), ISNUMBER(I22), ISNUMBER(I20), ISNUMBER(I16), I20&lt;&gt;I16), ($D$3*I22)/(I20-I16), "")</f>
        <v>1.3999999999998636</v>
      </c>
      <c r="J23" s="9"/>
      <c r="K23" s="4">
        <f>IF(AND(ISNUMBER($D$3), ISNUMBER(K22), ISNUMBER(K20), ISNUMBER(K16), K20&lt;&gt;K16), ($D$3*K22)/(K20-K16), "")</f>
        <v>1.470588235293921</v>
      </c>
      <c r="L23" s="22"/>
      <c r="M23" s="1"/>
    </row>
    <row r="24" spans="1:15" ht="17" thickBot="1" x14ac:dyDescent="0.25">
      <c r="B24" s="25" t="s">
        <v>12</v>
      </c>
      <c r="C24" s="17">
        <v>425.09</v>
      </c>
      <c r="D24" s="16" t="str">
        <f>C31</f>
        <v/>
      </c>
      <c r="E24" s="17">
        <v>424.97</v>
      </c>
      <c r="F24" s="16">
        <f>E31</f>
        <v>0.18987341772135505</v>
      </c>
      <c r="G24" s="17">
        <v>425.48</v>
      </c>
      <c r="H24" s="16" t="str">
        <f>G31</f>
        <v/>
      </c>
      <c r="I24" s="17">
        <v>425.36</v>
      </c>
      <c r="J24" s="16">
        <f>I31</f>
        <v>4.4444444444445326</v>
      </c>
      <c r="K24" s="17">
        <v>425.25</v>
      </c>
      <c r="L24" s="18">
        <f>K31</f>
        <v>4.7468354430378517</v>
      </c>
      <c r="M24" s="1"/>
      <c r="N24">
        <f>IF(COUNT(K24,I24,G24,E24,C24)=COUNTA(K24,I24,G24,E24,C24), 1, 0)</f>
        <v>1</v>
      </c>
      <c r="O24">
        <f>COUNT(K24,I24,G24,E24,C24)</f>
        <v>5</v>
      </c>
    </row>
    <row r="25" spans="1:15" x14ac:dyDescent="0.2">
      <c r="A25" t="s">
        <v>7</v>
      </c>
      <c r="B25" s="25"/>
      <c r="C25" s="2">
        <f t="shared" ref="C25:I25" si="16">IF(AND(ISNUMBER(C20), ISNUMBER(C24), ROUND((C20+C24)/2, 0)&gt;=MIN(C20,C24), ROUND((C20+C24)/2, 0)&lt;=MAX(C20,C24)), ROUND((C20+C24)/2, 0), "")</f>
        <v>425</v>
      </c>
      <c r="D25" s="9"/>
      <c r="E25" s="2" t="str">
        <f t="shared" si="16"/>
        <v/>
      </c>
      <c r="F25" s="9"/>
      <c r="G25" s="2">
        <f t="shared" si="16"/>
        <v>425</v>
      </c>
      <c r="H25" s="9"/>
      <c r="I25" s="2">
        <f t="shared" si="16"/>
        <v>425</v>
      </c>
      <c r="J25" s="9"/>
      <c r="K25" s="2">
        <f>IF(AND(ISNUMBER(K20), ISNUMBER(K24), ROUND((K20+K24)/2, 0)&gt;=MIN(K20,K24), ROUND((K20+K24)/2, 0)&lt;=MAX(K20,K24)), ROUND((K20+K24)/2, 0), "")</f>
        <v>425</v>
      </c>
      <c r="L25" s="22"/>
      <c r="M25" s="1" t="str">
        <f>IF(AND(ISNUMBER(M20), ISNUMBER(M24), ROUND((M20+M24)/2, 0)&gt;=MIN(M20,M24), ROUND((M20+M24)/2, 0)&lt;=MAX(M20,M24)), ROUND((M20+M24)/2, 0), "")</f>
        <v/>
      </c>
    </row>
    <row r="26" spans="1:15" x14ac:dyDescent="0.2">
      <c r="A26" t="s">
        <v>5</v>
      </c>
      <c r="B26" s="25"/>
      <c r="C26" s="3">
        <f t="shared" ref="C26:I26" si="17">IF(AND(ISNUMBER(C25), ISNUMBER(C20)), C25-C20, "")</f>
        <v>0.13999999999998636</v>
      </c>
      <c r="D26" s="9"/>
      <c r="E26" s="3" t="str">
        <f t="shared" si="17"/>
        <v/>
      </c>
      <c r="F26" s="9"/>
      <c r="G26" s="3">
        <f t="shared" si="17"/>
        <v>0.58999999999997499</v>
      </c>
      <c r="H26" s="9"/>
      <c r="I26" s="3">
        <f t="shared" si="17"/>
        <v>0.63999999999998636</v>
      </c>
      <c r="J26" s="9"/>
      <c r="K26" s="3">
        <f>IF(AND(ISNUMBER(K25), ISNUMBER(K20)), K25-K20, "")</f>
        <v>0.63999999999998636</v>
      </c>
      <c r="L26" s="22"/>
      <c r="M26" s="1" t="str">
        <f>IF(AND(ISNUMBER(M25), ISNUMBER(M20)), M25-M20, "")</f>
        <v/>
      </c>
    </row>
    <row r="27" spans="1:15" ht="17" thickBot="1" x14ac:dyDescent="0.25">
      <c r="A27" t="s">
        <v>6</v>
      </c>
      <c r="B27" s="25"/>
      <c r="C27" s="4">
        <f t="shared" ref="C27:I27" si="18">IF(AND(ISNUMBER($D$3), ISNUMBER(C26), ISNUMBER(C24), ISNUMBER(C20), C24&lt;&gt;C20), ($D$3*C26)/(C24-C20), "")</f>
        <v>3.0434782608697799</v>
      </c>
      <c r="D27" s="9"/>
      <c r="E27" s="4" t="str">
        <f t="shared" si="18"/>
        <v/>
      </c>
      <c r="F27" s="9"/>
      <c r="G27" s="4">
        <f t="shared" si="18"/>
        <v>2.7570093457942932</v>
      </c>
      <c r="H27" s="9"/>
      <c r="I27" s="4">
        <f t="shared" si="18"/>
        <v>3.1999999999999318</v>
      </c>
      <c r="J27" s="9"/>
      <c r="K27" s="4">
        <f>IF(AND(ISNUMBER($D$3), ISNUMBER(K26), ISNUMBER(K24), ISNUMBER(K20), K24&lt;&gt;K20), ($D$3*K26)/(K24-K20), "")</f>
        <v>3.5955056179775067</v>
      </c>
      <c r="L27" s="22"/>
      <c r="M27" s="1" t="str">
        <f>IF(AND(ISNUMBER($D$3), ISNUMBER(M26), ISNUMBER(M24), ISNUMBER(M20), M24&lt;&gt;M20), ($D$3*M26)/(M24-M20), "")</f>
        <v/>
      </c>
    </row>
    <row r="28" spans="1:15" ht="17" thickBot="1" x14ac:dyDescent="0.25">
      <c r="B28" s="25" t="s">
        <v>13</v>
      </c>
      <c r="C28" s="17">
        <v>425.95</v>
      </c>
      <c r="D28" s="16">
        <f>C35</f>
        <v>0.53191489361711131</v>
      </c>
      <c r="E28" s="17">
        <v>425.76</v>
      </c>
      <c r="F28" s="16">
        <f>E35</f>
        <v>2.4489795918367818</v>
      </c>
      <c r="G28" s="17">
        <v>425.53</v>
      </c>
      <c r="H28" s="16">
        <f>G35</f>
        <v>4.0517241379309841</v>
      </c>
      <c r="I28" s="17">
        <v>426.08</v>
      </c>
      <c r="J28" s="16" t="str">
        <f>I35</f>
        <v/>
      </c>
      <c r="K28" s="17">
        <v>426.04</v>
      </c>
      <c r="L28" s="18" t="str">
        <f>K35</f>
        <v/>
      </c>
      <c r="M28" s="5" t="str">
        <f>K35</f>
        <v/>
      </c>
      <c r="N28">
        <f>IF(COUNT(K28,I28,G28,E28,C28)=COUNTA(K28,I28,G28,E28,C28), 1, 0)</f>
        <v>1</v>
      </c>
      <c r="O28">
        <f>COUNT(K28,I28,G28,E28,C28)</f>
        <v>5</v>
      </c>
    </row>
    <row r="29" spans="1:15" x14ac:dyDescent="0.2">
      <c r="A29" t="s">
        <v>7</v>
      </c>
      <c r="B29" s="25"/>
      <c r="C29" s="6" t="str">
        <f t="shared" ref="C29:I29" si="19">IF(AND(ISNUMBER(C24), ISNUMBER(C28), ROUND((C24+C28)/2, 0)&gt;=MIN(C24,C28), ROUND((C24+C28)/2, 0)&lt;=MAX(C24,C28)), ROUND((C24+C28)/2, 0), "")</f>
        <v/>
      </c>
      <c r="D29" s="9"/>
      <c r="E29" s="6">
        <f t="shared" si="19"/>
        <v>425</v>
      </c>
      <c r="F29" s="9"/>
      <c r="G29" s="6" t="str">
        <f t="shared" si="19"/>
        <v/>
      </c>
      <c r="H29" s="9"/>
      <c r="I29" s="6">
        <f>IF(AND(ISNUMBER(I24), ISNUMBER(I28), ROUND((I24+I28)/2, 0)&gt;=MIN(I24,I28), ROUND((I24+I28)/2, 0)&lt;=MAX(I24,I28)), ROUND((I24+I28)/2, 0), "")</f>
        <v>426</v>
      </c>
      <c r="J29" s="9"/>
      <c r="K29" s="6">
        <f>IF(AND(ISNUMBER(K24), ISNUMBER(K28), ROUND((K24+K28)/2, 0)&gt;=MIN(K24,K28), ROUND((K24+K28)/2, 0)&lt;=MAX(K24,K28)), ROUND((K24+K28)/2, 0), "")</f>
        <v>426</v>
      </c>
      <c r="L29" s="22"/>
      <c r="M29" s="1"/>
    </row>
    <row r="30" spans="1:15" x14ac:dyDescent="0.2">
      <c r="A30" t="s">
        <v>5</v>
      </c>
      <c r="B30" s="25"/>
      <c r="C30" s="7" t="str">
        <f t="shared" ref="C30:J30" si="20">IF(AND(ISNUMBER(C29), ISNUMBER(C24)), C29-C24, "")</f>
        <v/>
      </c>
      <c r="D30" s="9"/>
      <c r="E30" s="7">
        <f t="shared" si="20"/>
        <v>2.9999999999972715E-2</v>
      </c>
      <c r="F30" s="9"/>
      <c r="G30" s="7" t="str">
        <f t="shared" si="20"/>
        <v/>
      </c>
      <c r="H30" s="9"/>
      <c r="I30" s="7">
        <f t="shared" si="20"/>
        <v>0.63999999999998636</v>
      </c>
      <c r="J30" s="9"/>
      <c r="K30" s="7">
        <f>IF(AND(ISNUMBER(K29), ISNUMBER(K24)), K29-K24, "")</f>
        <v>0.75</v>
      </c>
      <c r="L30" s="22"/>
      <c r="M30" s="1"/>
    </row>
    <row r="31" spans="1:15" ht="17" thickBot="1" x14ac:dyDescent="0.25">
      <c r="A31" t="s">
        <v>6</v>
      </c>
      <c r="B31" s="25"/>
      <c r="C31" s="4" t="str">
        <f t="shared" ref="C31:J31" si="21">IF(AND(ISNUMBER($D$3), ISNUMBER(C30), ISNUMBER(C28), ISNUMBER(C24), C28&lt;&gt;C24), ($D$3*C30)/(C28-C24), "")</f>
        <v/>
      </c>
      <c r="D31" s="9"/>
      <c r="E31" s="4">
        <f t="shared" si="21"/>
        <v>0.18987341772135505</v>
      </c>
      <c r="F31" s="9"/>
      <c r="G31" s="4" t="str">
        <f t="shared" si="21"/>
        <v/>
      </c>
      <c r="H31" s="9"/>
      <c r="I31" s="4">
        <f t="shared" si="21"/>
        <v>4.4444444444445326</v>
      </c>
      <c r="J31" s="9"/>
      <c r="K31" s="4">
        <f>IF(AND(ISNUMBER($D$3), ISNUMBER(K30), ISNUMBER(K28), ISNUMBER(K24), K28&lt;&gt;K24), ($D$3*K30)/(K28-K24), "")</f>
        <v>4.7468354430378517</v>
      </c>
      <c r="L31" s="22"/>
      <c r="M31" s="1"/>
    </row>
    <row r="32" spans="1:15" ht="17" thickBot="1" x14ac:dyDescent="0.25">
      <c r="B32" s="25" t="s">
        <v>14</v>
      </c>
      <c r="C32" s="17">
        <v>426.42</v>
      </c>
      <c r="D32" s="16">
        <f>C39</f>
        <v>2.8431372549019334</v>
      </c>
      <c r="E32" s="17">
        <v>426.25</v>
      </c>
      <c r="F32" s="16">
        <f>E39</f>
        <v>3.5377358490565962</v>
      </c>
      <c r="G32" s="17">
        <v>426.11</v>
      </c>
      <c r="H32" s="16">
        <f>G39</f>
        <v>3.938053097345088</v>
      </c>
      <c r="I32" s="17">
        <v>426.64</v>
      </c>
      <c r="J32" s="16">
        <f>I39</f>
        <v>3.3333333333333335</v>
      </c>
      <c r="K32" s="17">
        <v>426.6</v>
      </c>
      <c r="L32" s="18">
        <f>K39</f>
        <v>4.878048780487906</v>
      </c>
      <c r="M32" s="1"/>
      <c r="N32">
        <f>IF(COUNT(K32,I32,G32,E32,C32)=COUNTA(K32,I32,G32,E32,C32), 1, 0)</f>
        <v>1</v>
      </c>
      <c r="O32">
        <f>COUNT(K32,I32,G32,E32,C32)</f>
        <v>5</v>
      </c>
    </row>
    <row r="33" spans="1:15" x14ac:dyDescent="0.2">
      <c r="A33" t="s">
        <v>7</v>
      </c>
      <c r="B33" s="25"/>
      <c r="C33" s="2">
        <f t="shared" ref="C33:J33" si="22">IF(AND(ISNUMBER(C28), ISNUMBER(C32), ROUND((C28+C32)/2, 0)&gt;=MIN(C28,C32), ROUND((C28+C32)/2, 0)&lt;=MAX(C28,C32)), ROUND((C28+C32)/2, 0), "")</f>
        <v>426</v>
      </c>
      <c r="D33" s="9"/>
      <c r="E33" s="2">
        <f t="shared" si="22"/>
        <v>426</v>
      </c>
      <c r="F33" s="9"/>
      <c r="G33" s="2">
        <f t="shared" si="22"/>
        <v>426</v>
      </c>
      <c r="H33" s="9"/>
      <c r="I33" s="2" t="str">
        <f t="shared" si="22"/>
        <v/>
      </c>
      <c r="J33" s="9"/>
      <c r="K33" s="2" t="str">
        <f>IF(AND(ISNUMBER(K28), ISNUMBER(K32), ROUND((K28+K32)/2, 0)&gt;=MIN(K28,K32), ROUND((K28+K32)/2, 0)&lt;=MAX(K28,K32)), ROUND((K28+K32)/2, 0), "")</f>
        <v/>
      </c>
      <c r="L33" s="22"/>
      <c r="M33" s="1"/>
    </row>
    <row r="34" spans="1:15" x14ac:dyDescent="0.2">
      <c r="A34" t="s">
        <v>5</v>
      </c>
      <c r="B34" s="25"/>
      <c r="C34" s="3">
        <f t="shared" ref="C34:J34" si="23">IF(AND(ISNUMBER(C33), ISNUMBER(C28)), C33-C28, "")</f>
        <v>5.0000000000011369E-2</v>
      </c>
      <c r="D34" s="9"/>
      <c r="E34" s="3">
        <f t="shared" si="23"/>
        <v>0.24000000000000909</v>
      </c>
      <c r="F34" s="9"/>
      <c r="G34" s="3">
        <f t="shared" si="23"/>
        <v>0.47000000000002728</v>
      </c>
      <c r="H34" s="9"/>
      <c r="I34" s="3" t="str">
        <f t="shared" si="23"/>
        <v/>
      </c>
      <c r="J34" s="9"/>
      <c r="K34" s="3" t="str">
        <f>IF(AND(ISNUMBER(K33), ISNUMBER(K28)), K33-K28, "")</f>
        <v/>
      </c>
      <c r="L34" s="22"/>
      <c r="M34" s="1"/>
    </row>
    <row r="35" spans="1:15" ht="17" thickBot="1" x14ac:dyDescent="0.25">
      <c r="A35" t="s">
        <v>6</v>
      </c>
      <c r="B35" s="25"/>
      <c r="C35" s="4">
        <f t="shared" ref="C35:J35" si="24">IF(AND(ISNUMBER($D$3), ISNUMBER(C34), ISNUMBER(C32), ISNUMBER(C28), C32&lt;&gt;C28), ($D$3*C34)/(C32-C28), "")</f>
        <v>0.53191489361711131</v>
      </c>
      <c r="D35" s="9"/>
      <c r="E35" s="4">
        <f t="shared" si="24"/>
        <v>2.4489795918367818</v>
      </c>
      <c r="F35" s="9"/>
      <c r="G35" s="4">
        <f t="shared" si="24"/>
        <v>4.0517241379309841</v>
      </c>
      <c r="H35" s="9"/>
      <c r="I35" s="4" t="str">
        <f t="shared" si="24"/>
        <v/>
      </c>
      <c r="J35" s="9"/>
      <c r="K35" s="4" t="str">
        <f>IF(AND(ISNUMBER($D$3), ISNUMBER(K34), ISNUMBER(K32), ISNUMBER(K28), K32&lt;&gt;K28), ($D$3*K34)/(K32-K28), "")</f>
        <v/>
      </c>
      <c r="L35" s="22"/>
      <c r="M35" s="1"/>
    </row>
    <row r="36" spans="1:15" ht="17" thickBot="1" x14ac:dyDescent="0.25">
      <c r="B36" s="25" t="s">
        <v>15</v>
      </c>
      <c r="C36" s="17">
        <v>427.44</v>
      </c>
      <c r="D36" s="16"/>
      <c r="E36" s="17">
        <v>427.31</v>
      </c>
      <c r="F36" s="16"/>
      <c r="G36" s="17">
        <v>427.24</v>
      </c>
      <c r="H36" s="16"/>
      <c r="I36" s="17">
        <v>427.18</v>
      </c>
      <c r="J36" s="16"/>
      <c r="K36" s="17">
        <v>427.01</v>
      </c>
      <c r="L36" s="18"/>
      <c r="M36" s="1"/>
      <c r="N36">
        <f>IF(COUNT(K36,I36,G36,E36,C36)=COUNTA(K36,I36,G36,E36,C36), 1, 0)</f>
        <v>1</v>
      </c>
      <c r="O36">
        <f>COUNT(K36,I36,G36,E36,C36)</f>
        <v>5</v>
      </c>
    </row>
    <row r="37" spans="1:15" x14ac:dyDescent="0.2">
      <c r="A37" t="s">
        <v>7</v>
      </c>
      <c r="B37" s="25"/>
      <c r="C37" s="2">
        <f t="shared" ref="C37:J37" si="25">IF(AND(ISNUMBER(C32), ISNUMBER(C36), ROUND((C32+C36)/2, 0)&gt;=MIN(C32,C36), ROUND((C32+C36)/2, 0)&lt;=MAX(C32,C36)), ROUND((C32+C36)/2, 0), "")</f>
        <v>427</v>
      </c>
      <c r="D37" s="9"/>
      <c r="E37" s="2">
        <f t="shared" si="25"/>
        <v>427</v>
      </c>
      <c r="F37" s="9"/>
      <c r="G37" s="2">
        <f t="shared" si="25"/>
        <v>427</v>
      </c>
      <c r="H37" s="9"/>
      <c r="I37" s="2">
        <f t="shared" si="25"/>
        <v>427</v>
      </c>
      <c r="J37" s="9"/>
      <c r="K37" s="2">
        <f>IF(AND(ISNUMBER(K32), ISNUMBER(K36), ROUND((K32+K36)/2, 0)&gt;=MIN(K32,K36), ROUND((K32+K36)/2, 0)&lt;=MAX(K32,K36)), ROUND((K32+K36)/2, 0), "")</f>
        <v>427</v>
      </c>
      <c r="L37" s="22" t="str">
        <f>IF(AND(ISNUMBER(L32), ISNUMBER(L36), ROUND((L32+L36)/2, 0)&gt;=MIN(L32,L36), ROUND((L32+L36)/2, 0)&lt;=MAX(L32,L36)), ROUND((L32+L36)/2, 0), "")</f>
        <v/>
      </c>
      <c r="M37" s="1"/>
    </row>
    <row r="38" spans="1:15" x14ac:dyDescent="0.2">
      <c r="A38" t="s">
        <v>5</v>
      </c>
      <c r="B38" s="25"/>
      <c r="C38" s="3">
        <f t="shared" ref="C38:J38" si="26">IF(AND(ISNUMBER(C37), ISNUMBER(C32)), C37-C32, "")</f>
        <v>0.57999999999998408</v>
      </c>
      <c r="D38" s="9"/>
      <c r="E38" s="3">
        <f t="shared" si="26"/>
        <v>0.75</v>
      </c>
      <c r="F38" s="9"/>
      <c r="G38" s="3">
        <f t="shared" si="26"/>
        <v>0.88999999999998636</v>
      </c>
      <c r="H38" s="9"/>
      <c r="I38" s="3">
        <f t="shared" si="26"/>
        <v>0.36000000000001364</v>
      </c>
      <c r="J38" s="9"/>
      <c r="K38" s="3">
        <f>IF(AND(ISNUMBER(K37), ISNUMBER(K32)), K37-K32, "")</f>
        <v>0.39999999999997726</v>
      </c>
      <c r="L38" s="22"/>
      <c r="M38" s="1"/>
    </row>
    <row r="39" spans="1:15" ht="17" thickBot="1" x14ac:dyDescent="0.25">
      <c r="A39" t="s">
        <v>6</v>
      </c>
      <c r="B39" s="26"/>
      <c r="C39" s="23">
        <f t="shared" ref="C39:J39" si="27">IF(AND(ISNUMBER($D$3), ISNUMBER(C38), ISNUMBER(C36), ISNUMBER(C32), C36&lt;&gt;C32), ($D$3*C38)/(C36-C32), "")</f>
        <v>2.8431372549019334</v>
      </c>
      <c r="D39" s="13"/>
      <c r="E39" s="23">
        <f t="shared" si="27"/>
        <v>3.5377358490565962</v>
      </c>
      <c r="F39" s="13"/>
      <c r="G39" s="23">
        <f t="shared" si="27"/>
        <v>3.938053097345088</v>
      </c>
      <c r="H39" s="13"/>
      <c r="I39" s="23">
        <f t="shared" si="27"/>
        <v>3.3333333333333335</v>
      </c>
      <c r="J39" s="13"/>
      <c r="K39" s="23">
        <f>IF(AND(ISNUMBER($D$3), ISNUMBER(K38), ISNUMBER(K36), ISNUMBER(K32), K36&lt;&gt;K32), ($D$3*K38)/(K36-K32), "")</f>
        <v>4.878048780487906</v>
      </c>
      <c r="L39" s="15"/>
      <c r="M39" s="1"/>
    </row>
    <row r="40" spans="1:15" x14ac:dyDescent="0.2">
      <c r="C40" s="1"/>
      <c r="D40" s="9"/>
      <c r="E40" s="1"/>
      <c r="F40" s="9"/>
      <c r="G40" s="1"/>
      <c r="H40" s="9"/>
      <c r="I40" s="1"/>
      <c r="J40" s="9"/>
      <c r="K40" s="1"/>
      <c r="L40" s="9"/>
      <c r="M40" s="1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Meile Jeremy</dc:creator>
  <cp:lastModifiedBy>Meile Jeremy</cp:lastModifiedBy>
  <dcterms:created xsi:type="dcterms:W3CDTF">2025-05-12T05:31:39Z</dcterms:created>
  <dcterms:modified xsi:type="dcterms:W3CDTF">2025-05-12T10:31:00Z</dcterms:modified>
</cp:coreProperties>
</file>