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Jerry\Documents\GitHub\Berechnungshilfen\Excel\GB Grundbau\"/>
    </mc:Choice>
  </mc:AlternateContent>
  <xr:revisionPtr revIDLastSave="0" documentId="13_ncr:1_{476C51A1-8AAD-428B-980F-BE7CF658597B}" xr6:coauthVersionLast="47" xr6:coauthVersionMax="47" xr10:uidLastSave="{00000000-0000-0000-0000-000000000000}"/>
  <bookViews>
    <workbookView xWindow="14205" yWindow="780" windowWidth="38445" windowHeight="20190" activeTab="1" xr2:uid="{00000000-000D-0000-FFFF-FFFF00000000}"/>
  </bookViews>
  <sheets>
    <sheet name="Bodenberechnungen" sheetId="1" r:id="rId1"/>
    <sheet name="Formeln" sheetId="3" r:id="rId2"/>
    <sheet name="Einheiten" sheetId="2" state="hidden" r:id="rId3"/>
  </sheets>
  <functionGroups builtInGroupCount="19"/>
  <definedNames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<sst xmlns="http://schemas.openxmlformats.org/spreadsheetml/2006/main" count="436" uniqueCount="277">
  <si>
    <t>Beschreibung</t>
  </si>
  <si>
    <t>Volumen Festsubstanz</t>
  </si>
  <si>
    <t>V_s</t>
  </si>
  <si>
    <t>V_p</t>
  </si>
  <si>
    <t>Volumen Wasser</t>
  </si>
  <si>
    <t>V_w</t>
  </si>
  <si>
    <t>Feuchtraumgewicht</t>
  </si>
  <si>
    <t>Wassergehalt</t>
  </si>
  <si>
    <t>w</t>
  </si>
  <si>
    <t>Porosität</t>
  </si>
  <si>
    <t>n</t>
  </si>
  <si>
    <t>Sättigungsgrad</t>
  </si>
  <si>
    <t>S_r</t>
  </si>
  <si>
    <t>Trockenraumgewicht</t>
  </si>
  <si>
    <t>Raumgewicht gesättigt</t>
  </si>
  <si>
    <t>G_s</t>
  </si>
  <si>
    <t>V_tot</t>
  </si>
  <si>
    <t>G_tot</t>
  </si>
  <si>
    <t>y_w</t>
  </si>
  <si>
    <t>y_d</t>
  </si>
  <si>
    <t>y_g</t>
  </si>
  <si>
    <t>y_s</t>
  </si>
  <si>
    <t>Gewicht der Festsubstanz</t>
  </si>
  <si>
    <t>Spezifisches Gewicht der Festsubstanz</t>
  </si>
  <si>
    <t>Gesamtvolumen</t>
  </si>
  <si>
    <t>Gesamtgewicht</t>
  </si>
  <si>
    <t>Spezifisches Gewicht des Wassers</t>
  </si>
  <si>
    <t>kg</t>
  </si>
  <si>
    <t>m³</t>
  </si>
  <si>
    <t>kN/m³</t>
  </si>
  <si>
    <t>%</t>
  </si>
  <si>
    <t>meile.jeremy@stud.bauschule.ch</t>
  </si>
  <si>
    <t xml:space="preserve"> Zustandsgrössen des Bodens, Volumenbilanz</t>
  </si>
  <si>
    <t>Nachkommastellen</t>
  </si>
  <si>
    <t>Wert</t>
  </si>
  <si>
    <t>Formel</t>
  </si>
  <si>
    <t>Lösungsweg</t>
  </si>
  <si>
    <t>Einheit</t>
  </si>
  <si>
    <t>Masse der Probe in natürlichem Zustand</t>
  </si>
  <si>
    <t>Masse der Probe nach der Trocknung</t>
  </si>
  <si>
    <t>Erdbeschleunigung</t>
  </si>
  <si>
    <t>m_tot</t>
  </si>
  <si>
    <t>m_s</t>
  </si>
  <si>
    <t>g</t>
  </si>
  <si>
    <t>m/s²</t>
  </si>
  <si>
    <t>N</t>
  </si>
  <si>
    <t>Gewicht des Wassers</t>
  </si>
  <si>
    <t>G_w</t>
  </si>
  <si>
    <t>Hohlraumverhältnis</t>
  </si>
  <si>
    <t>e</t>
  </si>
  <si>
    <t>Bezeichnung</t>
  </si>
  <si>
    <t>V_l</t>
  </si>
  <si>
    <t>Porenvolumen</t>
  </si>
  <si>
    <t>Volume Luft</t>
  </si>
  <si>
    <t>mg</t>
  </si>
  <si>
    <t>µg</t>
  </si>
  <si>
    <t>t</t>
  </si>
  <si>
    <t>kt</t>
  </si>
  <si>
    <t>cm/s²</t>
  </si>
  <si>
    <t>mm/s²</t>
  </si>
  <si>
    <t>kN</t>
  </si>
  <si>
    <t>MN</t>
  </si>
  <si>
    <t>dm³</t>
  </si>
  <si>
    <t>cm³</t>
  </si>
  <si>
    <t>mm³</t>
  </si>
  <si>
    <t>hl</t>
  </si>
  <si>
    <t>l</t>
  </si>
  <si>
    <t>N/m³</t>
  </si>
  <si>
    <t>kg/m³</t>
  </si>
  <si>
    <t>t/m³</t>
  </si>
  <si>
    <t>g/cm³</t>
  </si>
  <si>
    <t>kg/dm³</t>
  </si>
  <si>
    <t>g/mm³</t>
  </si>
  <si>
    <t>kN/dm³</t>
  </si>
  <si>
    <t>N/dm³</t>
  </si>
  <si>
    <t>t/dm³</t>
  </si>
  <si>
    <t>kg/cm³</t>
  </si>
  <si>
    <t>kN/cm³</t>
  </si>
  <si>
    <t>N/cm³</t>
  </si>
  <si>
    <t>t/cm³</t>
  </si>
  <si>
    <t>kg/mm³</t>
  </si>
  <si>
    <t>kN/mm³</t>
  </si>
  <si>
    <t>N/mm³</t>
  </si>
  <si>
    <t>t/mm³</t>
  </si>
  <si>
    <t>g/dm³</t>
  </si>
  <si>
    <t>Einheiten</t>
  </si>
  <si>
    <t>Einheiten umrechnen</t>
  </si>
  <si>
    <t>g/m³</t>
  </si>
  <si>
    <t>(G_s / 1000) / y_s</t>
  </si>
  <si>
    <t>V_tot - V_s</t>
  </si>
  <si>
    <t>(G_tot - G_s) / (y_w * 1000)</t>
  </si>
  <si>
    <t>(G_tot - G_s) / G_s</t>
  </si>
  <si>
    <t>V_p / V_tot</t>
  </si>
  <si>
    <t>V_w / V_p</t>
  </si>
  <si>
    <t>V_p / V_s</t>
  </si>
  <si>
    <t>G_tot / V_tot / 1000</t>
  </si>
  <si>
    <t>G_s / V_tot / 1000</t>
  </si>
  <si>
    <t>y_w * V_w * 1000</t>
  </si>
  <si>
    <t>V_p - V_w</t>
  </si>
  <si>
    <t>V_p, V_w</t>
  </si>
  <si>
    <t>V_tot - (V_s + V_w)</t>
  </si>
  <si>
    <t>V_tot, V_s, V_w</t>
  </si>
  <si>
    <t>G_tot / m_tot</t>
  </si>
  <si>
    <t>G_tot, m_tot</t>
  </si>
  <si>
    <t>G_s / m_s</t>
  </si>
  <si>
    <t>G_s, m_s</t>
  </si>
  <si>
    <t>V_s * y_s * 1000</t>
  </si>
  <si>
    <t>V_s, y_s</t>
  </si>
  <si>
    <t>G_tot - (V_w * y_w * 1000)</t>
  </si>
  <si>
    <t>G_tot, V_w, y_w</t>
  </si>
  <si>
    <t>y_d * V_tot * 1000</t>
  </si>
  <si>
    <t>y_d, V_tot</t>
  </si>
  <si>
    <t>G_tot - G_w</t>
  </si>
  <si>
    <t>G_tot, G_w</t>
  </si>
  <si>
    <t>V_tot * y_d * 1000</t>
  </si>
  <si>
    <t>V_tot, y_d</t>
  </si>
  <si>
    <t>G_tot - (V_p * y_w * 1000)</t>
  </si>
  <si>
    <t>G_tot, V_p, y_w</t>
  </si>
  <si>
    <t>(1 - S_r) * V_s * y_s * 1000</t>
  </si>
  <si>
    <t>S_r, V_s, y_s</t>
  </si>
  <si>
    <t>y_s * V_s * 1000</t>
  </si>
  <si>
    <t>y_s, V_s</t>
  </si>
  <si>
    <t>(G_s / 1000) / V_s</t>
  </si>
  <si>
    <t>G_s, V_s</t>
  </si>
  <si>
    <t>(y_d * V_tot) / V_s</t>
  </si>
  <si>
    <t>y_d, V_tot, V_s</t>
  </si>
  <si>
    <t>(G_tot / 1000) / (V_tot - V_w)</t>
  </si>
  <si>
    <t>G_tot, V_tot, V_w</t>
  </si>
  <si>
    <t>V_s + V_p</t>
  </si>
  <si>
    <t>V_s, V_p</t>
  </si>
  <si>
    <t>(G_tot - G_w) / (y_d * 1000)</t>
  </si>
  <si>
    <t>G_tot, G_w, y_d</t>
  </si>
  <si>
    <t>G_s + (V_w * y_w * 1000)</t>
  </si>
  <si>
    <t>G_s, V_w, y_w</t>
  </si>
  <si>
    <t>G_s + G_w</t>
  </si>
  <si>
    <t>G_s, G_w</t>
  </si>
  <si>
    <t>(y_s * V_s * 1000) + G_w</t>
  </si>
  <si>
    <t>y_s, V_s, G_w</t>
  </si>
  <si>
    <t>G_w, V_w</t>
  </si>
  <si>
    <t>G_tot, G_s, V_w</t>
  </si>
  <si>
    <t>G_s, y_s</t>
  </si>
  <si>
    <t>V_tot - V_p</t>
  </si>
  <si>
    <t>V_tot, V_p</t>
  </si>
  <si>
    <t>V_tot, V_s</t>
  </si>
  <si>
    <t>V_w / S_r</t>
  </si>
  <si>
    <t>V_w, S_r</t>
  </si>
  <si>
    <t>G_tot, G_s, y_w</t>
  </si>
  <si>
    <t>V_p * S_r</t>
  </si>
  <si>
    <t>V_p, S_r</t>
  </si>
  <si>
    <t>G_w / (y_w * 1000)</t>
  </si>
  <si>
    <t>G_w, y_w</t>
  </si>
  <si>
    <t>G_tot, V_tot</t>
  </si>
  <si>
    <t>(G_s + G_w) / V_tot / 1000</t>
  </si>
  <si>
    <t>G_s, G_w, V_tot</t>
  </si>
  <si>
    <t>(V_s * y_s + V_w * y_w) / V_tot</t>
  </si>
  <si>
    <t>V_s, y_s, V_w, y_w, V_tot</t>
  </si>
  <si>
    <t>G_tot, G_s</t>
  </si>
  <si>
    <t>G_w / G_s</t>
  </si>
  <si>
    <t>G_w, G_s</t>
  </si>
  <si>
    <t>V_p, V_tot</t>
  </si>
  <si>
    <t>(V_tot - V_s) / V_tot</t>
  </si>
  <si>
    <t>(y_g - y_d) / y_w</t>
  </si>
  <si>
    <t>y_g, y_d, y_w</t>
  </si>
  <si>
    <t>V_p / (V_s + V_p)</t>
  </si>
  <si>
    <t>V_p, V_s</t>
  </si>
  <si>
    <t>1 - (V_s / V_tot)</t>
  </si>
  <si>
    <t>V_s, V_tot</t>
  </si>
  <si>
    <t>V_w, V_p</t>
  </si>
  <si>
    <t>G_w / (V_p * y_w * 1000)</t>
  </si>
  <si>
    <t>G_w, V_p, y_w</t>
  </si>
  <si>
    <t>G_s, V_tot</t>
  </si>
  <si>
    <t>(G_tot - G_w) / V_tot / 1000</t>
  </si>
  <si>
    <t>G_tot, G_w, V_tot</t>
  </si>
  <si>
    <t>(V_s * y_s) / V_tot</t>
  </si>
  <si>
    <t>V_s, y_s, V_tot</t>
  </si>
  <si>
    <t>y_d + ((V_p / V_tot) * y_w)</t>
  </si>
  <si>
    <t>y_d, V_p, V_tot, y_w</t>
  </si>
  <si>
    <t>y_d + (((V_tot - V_s) / V_tot) * y_w)</t>
  </si>
  <si>
    <t>y_d, V_tot, V_s, y_w</t>
  </si>
  <si>
    <t>(V_tot - V_s) / V_s</t>
  </si>
  <si>
    <t>y_w, V_w</t>
  </si>
  <si>
    <t>G_tot - G_s</t>
  </si>
  <si>
    <t>Der zu berechnende Wert</t>
  </si>
  <si>
    <t>Abhängigkeiten</t>
  </si>
  <si>
    <t>G_w / V_w / 1000</t>
  </si>
  <si>
    <t>(G_tot - G_s) / V_w / 1000</t>
  </si>
  <si>
    <t>g_</t>
  </si>
  <si>
    <t>y_</t>
  </si>
  <si>
    <t>w_</t>
  </si>
  <si>
    <t>n_</t>
  </si>
  <si>
    <t>e_</t>
  </si>
  <si>
    <t>n_ / (1 - n_)</t>
  </si>
  <si>
    <t>(y_g - (n_ * y_w)) * V_tot * 1000</t>
  </si>
  <si>
    <t>y_g, n_, y_w, V_tot</t>
  </si>
  <si>
    <t>m_s * g_</t>
  </si>
  <si>
    <t>m_s, g_</t>
  </si>
  <si>
    <t>(m_s * g_) + (V_w * y_w * 1000)</t>
  </si>
  <si>
    <t>m_s, g_, V_w, y_w</t>
  </si>
  <si>
    <t>m_tot, g_</t>
  </si>
  <si>
    <t>m_tot * g_</t>
  </si>
  <si>
    <t>y_ * V_tot * 1000</t>
  </si>
  <si>
    <t>y_, V_tot</t>
  </si>
  <si>
    <t>w_, G_s</t>
  </si>
  <si>
    <t>w_ * G_s</t>
  </si>
  <si>
    <t>G_s / g_</t>
  </si>
  <si>
    <t>G_s, g_</t>
  </si>
  <si>
    <t>m_tot / (1 + w_)</t>
  </si>
  <si>
    <t>m_tot, w_</t>
  </si>
  <si>
    <t>G_tot, g_</t>
  </si>
  <si>
    <t>G_tot / g_</t>
  </si>
  <si>
    <t>m_s * (1 + w_)</t>
  </si>
  <si>
    <t>m_s, w_</t>
  </si>
  <si>
    <t>V_tot, y_, g_</t>
  </si>
  <si>
    <t>V_tot * (y_ * 1000 / g_)</t>
  </si>
  <si>
    <t>e_ / (1 + e_)</t>
  </si>
  <si>
    <t>(w_ * V_s * y_s) / (V_p * y_w)</t>
  </si>
  <si>
    <t>w_, V_s, y_s, V_p, y_w</t>
  </si>
  <si>
    <t>G_w, n_, V_tot, y_w</t>
  </si>
  <si>
    <t>G_w / (n_ * V_tot * y_w * 1000)</t>
  </si>
  <si>
    <t>n_ * V_tot - V_w</t>
  </si>
  <si>
    <t>n_, V_tot, V_w</t>
  </si>
  <si>
    <t>n_, V_s</t>
  </si>
  <si>
    <t>n_ * (V_s / (1 - n_))</t>
  </si>
  <si>
    <t>V_tot, n_</t>
  </si>
  <si>
    <t>V_tot * n_</t>
  </si>
  <si>
    <t>V_p / (n_ / (1 - n_))</t>
  </si>
  <si>
    <t>V_p, n_</t>
  </si>
  <si>
    <t>V_tot * (1 - n_)</t>
  </si>
  <si>
    <t>G_tot, y_</t>
  </si>
  <si>
    <t>(G_tot / 1000) / y_</t>
  </si>
  <si>
    <t>V_p / n_</t>
  </si>
  <si>
    <t>V_s, n_</t>
  </si>
  <si>
    <t>V_s / (1 - n_)</t>
  </si>
  <si>
    <t>y_, y_d</t>
  </si>
  <si>
    <t>(y_ - y_d) / y_d</t>
  </si>
  <si>
    <t>V_tot * (n_ * S_r)</t>
  </si>
  <si>
    <t>V_tot, n_, S_r</t>
  </si>
  <si>
    <t>y_d + (n_ * S_r * y_w)</t>
  </si>
  <si>
    <t>y_d, n_, S_r, y_w</t>
  </si>
  <si>
    <t>y_g, S_r, n_, y_w</t>
  </si>
  <si>
    <t>y_g - ((1 - S_r) * n_ * y_w)</t>
  </si>
  <si>
    <t>y_g - (n_ * y_w)</t>
  </si>
  <si>
    <t>y_g, n_, y_w</t>
  </si>
  <si>
    <t>y_d, n_, y_w</t>
  </si>
  <si>
    <t>y_d + (n_ * y_w)</t>
  </si>
  <si>
    <t>w_, G_s, V_w</t>
  </si>
  <si>
    <t>(w_ * G_s) / V_w / 1000</t>
  </si>
  <si>
    <t>Vₜₒₜ</t>
  </si>
  <si>
    <t>mₜₒₜ</t>
  </si>
  <si>
    <t>mₛ</t>
  </si>
  <si>
    <t>Gₛ</t>
  </si>
  <si>
    <t>Gₜₒₜ</t>
  </si>
  <si>
    <t>Vₛ</t>
  </si>
  <si>
    <t>Vₚ</t>
  </si>
  <si>
    <t>Vₗ</t>
  </si>
  <si>
    <t>Sᵣ</t>
  </si>
  <si>
    <t>γₛ</t>
  </si>
  <si>
    <t>γ</t>
  </si>
  <si>
    <t>γᵈ</t>
  </si>
  <si>
    <t>γᵍ</t>
  </si>
  <si>
    <t>Symbol</t>
  </si>
  <si>
    <t>In der Tabelle links können Sie zusätzliche Formeln einfügen. Achten Sie dabei darauf, dass die Zeichen exakt eingehalten werden, da ansonsten Fehler bei der Berechnung auftreten können.</t>
  </si>
  <si>
    <t>Zeichen</t>
  </si>
  <si>
    <t>0 kN * 1000 / 9.81 = 0 t</t>
  </si>
  <si>
    <t>Vʷ</t>
  </si>
  <si>
    <t>γʷ</t>
  </si>
  <si>
    <t>Gʷ</t>
  </si>
  <si>
    <t>Testwerte</t>
  </si>
  <si>
    <t>Spalte1</t>
  </si>
  <si>
    <t>Spalte2</t>
  </si>
  <si>
    <t>(y_g - (n_ * y_w)) / (1 - n_)</t>
  </si>
  <si>
    <t>V_s, y_s, g_</t>
  </si>
  <si>
    <t>V_s * (y_s * 1000 / g_)</t>
  </si>
  <si>
    <t>(G_tot / 1000) / y_ - V_s</t>
  </si>
  <si>
    <t>G_tot, y_, V_s</t>
  </si>
  <si>
    <t>n_, V_tot, S_r</t>
  </si>
  <si>
    <t>n_ * V_tot * S_r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</si>
</sst>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"/>
  </numFmts>
  <fonts count="18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0"/>
      <name val="Calibri"/>
      <family val="2"/>
    </font>
    <font>
      <u/>
      <sz val="14"/>
      <color theme="0"/>
      <name val="Calibri"/>
      <family val="2"/>
    </font>
    <font>
      <b/>
      <sz val="11"/>
      <color rgb="FF000000"/>
      <name val="Calibri"/>
      <family val="2"/>
    </font>
    <font>
      <i/>
      <u/>
      <sz val="10"/>
      <color theme="1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  <font>
      <sz val="11"/>
      <color rgb="FF9C5700"/>
      <name val="Calibri"/>
      <family val="2"/>
      <scheme val="minor"/>
    </font>
    <font>
      <b/>
      <sz val="12"/>
      <color rgb="FF9C57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rgb="FFF2F2F2"/>
      </patternFill>
    </fill>
    <fill>
      <patternFill patternType="solid">
        <fgColor rgb="FFFFEB9C"/>
      </patternFill>
    </fill>
  </fills>
  <borders count="5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/>
      <top/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 style="medium">
        <color indexed="64"/>
      </bottom>
      <diagonal/>
    </border>
    <border>
      <left/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rgb="FF7F7F7F"/>
      </top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rgb="FF7F7F7F"/>
      </bottom>
      <diagonal/>
    </border>
    <border>
      <left/>
      <right style="medium">
        <color indexed="64"/>
      </right>
      <top/>
      <bottom style="thin">
        <color rgb="FF7F7F7F"/>
      </bottom>
      <diagonal/>
    </border>
  </borders>
  <cellStyleXfs count="6">
    <xf numFmtId="0" fontId="0" fillId="0" borderId="0"/>
    <xf numFmtId="0" fontId="4" fillId="2" borderId="1" applyNumberFormat="0" applyAlignment="0" applyProtection="0"/>
    <xf numFmtId="0" fontId="3" fillId="3" borderId="2" applyNumberFormat="0" applyFont="0" applyAlignment="0" applyProtection="0"/>
    <xf numFmtId="0" fontId="7" fillId="0" borderId="0" applyNumberFormat="0" applyFill="0" applyBorder="0" applyAlignment="0" applyProtection="0"/>
    <xf numFmtId="0" fontId="13" fillId="11" borderId="38" applyNumberFormat="0" applyAlignment="0" applyProtection="0"/>
    <xf numFmtId="0" fontId="16" fillId="12" borderId="0" applyNumberFormat="0" applyBorder="0" applyAlignment="0" applyProtection="0"/>
  </cellStyleXfs>
  <cellXfs count="127">
    <xf numFmtId="0" fontId="0" fillId="0" borderId="0" xfId="0"/>
    <xf numFmtId="0" fontId="1" fillId="4" borderId="3" xfId="0" applyFont="1" applyFill="1" applyBorder="1" applyAlignment="1">
      <alignment horizontal="center" vertical="center"/>
    </xf>
    <xf numFmtId="0" fontId="0" fillId="0" borderId="6" xfId="0" applyBorder="1"/>
    <xf numFmtId="0" fontId="0" fillId="0" borderId="10" xfId="0" applyBorder="1"/>
    <xf numFmtId="0" fontId="9" fillId="5" borderId="4" xfId="0" applyFont="1" applyFill="1" applyBorder="1"/>
    <xf numFmtId="0" fontId="10" fillId="5" borderId="5" xfId="3" applyFont="1" applyFill="1" applyBorder="1" applyAlignment="1" applyProtection="1">
      <alignment horizontal="right"/>
    </xf>
    <xf numFmtId="0" fontId="9" fillId="5" borderId="4" xfId="0" applyFont="1" applyFill="1" applyBorder="1" applyAlignment="1">
      <alignment horizontal="center"/>
    </xf>
    <xf numFmtId="0" fontId="9" fillId="5" borderId="3" xfId="0" applyFont="1" applyFill="1" applyBorder="1" applyAlignment="1">
      <alignment horizontal="left"/>
    </xf>
    <xf numFmtId="0" fontId="8" fillId="2" borderId="13" xfId="1" applyNumberFormat="1" applyFont="1" applyBorder="1" applyProtection="1">
      <protection locked="0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8" fillId="2" borderId="20" xfId="1" applyNumberFormat="1" applyFont="1" applyBorder="1" applyProtection="1">
      <protection locked="0"/>
    </xf>
    <xf numFmtId="0" fontId="0" fillId="0" borderId="21" xfId="0" applyBorder="1"/>
    <xf numFmtId="0" fontId="6" fillId="3" borderId="22" xfId="2" applyFont="1" applyBorder="1" applyAlignment="1" applyProtection="1">
      <alignment horizontal="left" vertical="center"/>
    </xf>
    <xf numFmtId="0" fontId="6" fillId="3" borderId="23" xfId="2" applyFont="1" applyBorder="1" applyProtection="1"/>
    <xf numFmtId="0" fontId="0" fillId="0" borderId="24" xfId="0" applyBorder="1"/>
    <xf numFmtId="0" fontId="6" fillId="3" borderId="25" xfId="2" applyFont="1" applyBorder="1" applyProtection="1"/>
    <xf numFmtId="0" fontId="0" fillId="0" borderId="26" xfId="0" applyBorder="1"/>
    <xf numFmtId="0" fontId="0" fillId="0" borderId="27" xfId="0" applyBorder="1"/>
    <xf numFmtId="0" fontId="0" fillId="6" borderId="24" xfId="0" applyFill="1" applyBorder="1"/>
    <xf numFmtId="0" fontId="0" fillId="6" borderId="10" xfId="0" applyFill="1" applyBorder="1"/>
    <xf numFmtId="0" fontId="0" fillId="6" borderId="26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27" xfId="0" applyFill="1" applyBorder="1"/>
    <xf numFmtId="0" fontId="0" fillId="6" borderId="17" xfId="0" applyFill="1" applyBorder="1"/>
    <xf numFmtId="0" fontId="0" fillId="6" borderId="18" xfId="0" applyFill="1" applyBorder="1"/>
    <xf numFmtId="0" fontId="6" fillId="8" borderId="25" xfId="2" applyFont="1" applyFill="1" applyBorder="1" applyAlignment="1" applyProtection="1">
      <alignment horizontal="left" vertical="center"/>
    </xf>
    <xf numFmtId="0" fontId="8" fillId="9" borderId="32" xfId="1" applyNumberFormat="1" applyFont="1" applyFill="1" applyBorder="1" applyProtection="1">
      <protection locked="0"/>
    </xf>
    <xf numFmtId="0" fontId="8" fillId="10" borderId="13" xfId="1" applyNumberFormat="1" applyFont="1" applyFill="1" applyBorder="1" applyProtection="1">
      <protection locked="0"/>
    </xf>
    <xf numFmtId="0" fontId="1" fillId="4" borderId="7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/>
    </xf>
    <xf numFmtId="0" fontId="0" fillId="0" borderId="33" xfId="0" applyBorder="1"/>
    <xf numFmtId="0" fontId="6" fillId="3" borderId="35" xfId="2" applyFont="1" applyBorder="1" applyAlignment="1" applyProtection="1">
      <alignment horizontal="left" vertical="center"/>
    </xf>
    <xf numFmtId="0" fontId="6" fillId="3" borderId="19" xfId="2" applyFont="1" applyBorder="1" applyAlignment="1" applyProtection="1">
      <alignment horizontal="left" vertical="center"/>
    </xf>
    <xf numFmtId="0" fontId="8" fillId="10" borderId="34" xfId="1" applyNumberFormat="1" applyFont="1" applyFill="1" applyBorder="1" applyProtection="1">
      <protection locked="0"/>
    </xf>
    <xf numFmtId="0" fontId="6" fillId="8" borderId="35" xfId="2" applyFont="1" applyFill="1" applyBorder="1" applyAlignment="1" applyProtection="1">
      <alignment horizontal="left" vertical="center"/>
    </xf>
    <xf numFmtId="0" fontId="8" fillId="10" borderId="20" xfId="1" applyNumberFormat="1" applyFont="1" applyFill="1" applyBorder="1" applyProtection="1">
      <protection locked="0"/>
    </xf>
    <xf numFmtId="0" fontId="6" fillId="8" borderId="19" xfId="2" applyFont="1" applyFill="1" applyBorder="1" applyAlignment="1" applyProtection="1">
      <alignment horizontal="left" vertical="center"/>
    </xf>
    <xf numFmtId="0" fontId="8" fillId="2" borderId="34" xfId="1" applyNumberFormat="1" applyFont="1" applyBorder="1" applyProtection="1">
      <protection locked="0"/>
    </xf>
    <xf numFmtId="0" fontId="6" fillId="3" borderId="36" xfId="2" applyFont="1" applyBorder="1" applyProtection="1"/>
    <xf numFmtId="0" fontId="6" fillId="8" borderId="37" xfId="2" applyFont="1" applyFill="1" applyBorder="1" applyAlignment="1" applyProtection="1">
      <alignment horizontal="left" vertical="center"/>
    </xf>
    <xf numFmtId="0" fontId="6" fillId="8" borderId="36" xfId="2" applyFont="1" applyFill="1" applyBorder="1" applyAlignment="1" applyProtection="1">
      <alignment horizontal="left" vertical="center"/>
    </xf>
    <xf numFmtId="0" fontId="6" fillId="3" borderId="37" xfId="2" applyFont="1" applyBorder="1" applyProtection="1"/>
    <xf numFmtId="0" fontId="12" fillId="0" borderId="0" xfId="3" applyFont="1"/>
    <xf numFmtId="0" fontId="6" fillId="3" borderId="25" xfId="2" applyFont="1" applyBorder="1" applyAlignment="1" applyProtection="1">
      <alignment horizontal="left"/>
    </xf>
    <xf numFmtId="0" fontId="0" fillId="6" borderId="28" xfId="0" applyFill="1" applyBorder="1"/>
    <xf numFmtId="0" fontId="8" fillId="10" borderId="29" xfId="1" applyNumberFormat="1" applyFont="1" applyFill="1" applyBorder="1" applyProtection="1">
      <protection locked="0"/>
    </xf>
    <xf numFmtId="0" fontId="6" fillId="8" borderId="30" xfId="2" applyFont="1" applyFill="1" applyBorder="1" applyAlignment="1" applyProtection="1">
      <alignment horizontal="left" vertical="center"/>
    </xf>
    <xf numFmtId="0" fontId="6" fillId="8" borderId="31" xfId="2" applyFont="1" applyFill="1" applyBorder="1" applyAlignment="1" applyProtection="1">
      <alignment horizontal="left" vertical="center"/>
    </xf>
    <xf numFmtId="0" fontId="0" fillId="0" borderId="11" xfId="0" applyBorder="1" applyAlignment="1" applyProtection="1">
      <alignment vertical="center"/>
      <protection locked="0"/>
    </xf>
    <xf numFmtId="0" fontId="0" fillId="0" borderId="12" xfId="0" applyBorder="1" applyAlignment="1" applyProtection="1">
      <alignment vertical="center"/>
      <protection locked="0"/>
    </xf>
    <xf numFmtId="0" fontId="0" fillId="6" borderId="40" xfId="0" applyFill="1" applyBorder="1"/>
    <xf numFmtId="0" fontId="0" fillId="6" borderId="0" xfId="0" applyFill="1"/>
    <xf numFmtId="0" fontId="0" fillId="6" borderId="9" xfId="0" applyFill="1" applyBorder="1"/>
    <xf numFmtId="0" fontId="6" fillId="8" borderId="2" xfId="2" applyFont="1" applyFill="1" applyAlignment="1" applyProtection="1">
      <alignment horizontal="left" vertical="center"/>
    </xf>
    <xf numFmtId="0" fontId="6" fillId="3" borderId="2" xfId="2" applyFont="1" applyAlignment="1" applyProtection="1">
      <alignment horizontal="left" vertical="center"/>
    </xf>
    <xf numFmtId="0" fontId="6" fillId="3" borderId="2" xfId="2" applyFont="1" applyAlignment="1" applyProtection="1">
      <alignment horizontal="left"/>
    </xf>
    <xf numFmtId="0" fontId="0" fillId="6" borderId="8" xfId="0" applyFill="1" applyBorder="1"/>
    <xf numFmtId="0" fontId="0" fillId="0" borderId="7" xfId="0" applyBorder="1"/>
    <xf numFmtId="0" fontId="0" fillId="0" borderId="41" xfId="0" applyBorder="1"/>
    <xf numFmtId="0" fontId="0" fillId="6" borderId="42" xfId="0" applyFill="1" applyBorder="1"/>
    <xf numFmtId="0" fontId="0" fillId="6" borderId="41" xfId="0" applyFill="1" applyBorder="1"/>
    <xf numFmtId="0" fontId="0" fillId="0" borderId="42" xfId="0" applyBorder="1"/>
    <xf numFmtId="0" fontId="5" fillId="0" borderId="27" xfId="0" applyFont="1" applyBorder="1"/>
    <xf numFmtId="0" fontId="5" fillId="0" borderId="41" xfId="0" applyFont="1" applyBorder="1"/>
    <xf numFmtId="0" fontId="5" fillId="0" borderId="17" xfId="0" applyFont="1" applyBorder="1"/>
    <xf numFmtId="0" fontId="5" fillId="0" borderId="18" xfId="0" applyFont="1" applyBorder="1"/>
    <xf numFmtId="0" fontId="5" fillId="6" borderId="27" xfId="0" applyFont="1" applyFill="1" applyBorder="1"/>
    <xf numFmtId="0" fontId="5" fillId="6" borderId="41" xfId="0" applyFont="1" applyFill="1" applyBorder="1"/>
    <xf numFmtId="0" fontId="5" fillId="6" borderId="17" xfId="0" applyFont="1" applyFill="1" applyBorder="1"/>
    <xf numFmtId="0" fontId="5" fillId="6" borderId="18" xfId="0" applyFont="1" applyFill="1" applyBorder="1"/>
    <xf numFmtId="0" fontId="0" fillId="7" borderId="6" xfId="0" applyFill="1" applyBorder="1"/>
    <xf numFmtId="0" fontId="0" fillId="7" borderId="11" xfId="0" applyFill="1" applyBorder="1"/>
    <xf numFmtId="0" fontId="0" fillId="7" borderId="8" xfId="0" applyFill="1" applyBorder="1"/>
    <xf numFmtId="0" fontId="0" fillId="7" borderId="12" xfId="0" applyFill="1" applyBorder="1"/>
    <xf numFmtId="0" fontId="1" fillId="4" borderId="3" xfId="0" applyFont="1" applyFill="1" applyBorder="1" applyAlignment="1">
      <alignment vertical="center"/>
    </xf>
    <xf numFmtId="0" fontId="1" fillId="4" borderId="4" xfId="0" applyFont="1" applyFill="1" applyBorder="1" applyAlignment="1">
      <alignment vertical="center"/>
    </xf>
    <xf numFmtId="0" fontId="0" fillId="7" borderId="24" xfId="0" applyFill="1" applyBorder="1"/>
    <xf numFmtId="0" fontId="0" fillId="7" borderId="39" xfId="0" applyFill="1" applyBorder="1"/>
    <xf numFmtId="0" fontId="5" fillId="4" borderId="5" xfId="0" applyFont="1" applyFill="1" applyBorder="1"/>
    <xf numFmtId="0" fontId="5" fillId="4" borderId="3" xfId="0" applyFont="1" applyFill="1" applyBorder="1"/>
    <xf numFmtId="0" fontId="0" fillId="0" borderId="39" xfId="0" applyBorder="1"/>
    <xf numFmtId="0" fontId="0" fillId="6" borderId="39" xfId="0" applyFill="1" applyBorder="1"/>
    <xf numFmtId="0" fontId="0" fillId="0" borderId="49" xfId="0" applyBorder="1"/>
    <xf numFmtId="0" fontId="0" fillId="6" borderId="50" xfId="0" applyFill="1" applyBorder="1"/>
    <xf numFmtId="0" fontId="0" fillId="6" borderId="49" xfId="0" applyFill="1" applyBorder="1"/>
    <xf numFmtId="0" fontId="0" fillId="0" borderId="50" xfId="0" applyBorder="1"/>
    <xf numFmtId="0" fontId="5" fillId="0" borderId="49" xfId="0" applyFont="1" applyBorder="1"/>
    <xf numFmtId="0" fontId="5" fillId="6" borderId="49" xfId="0" applyFont="1" applyFill="1" applyBorder="1"/>
    <xf numFmtId="0" fontId="0" fillId="6" borderId="12" xfId="0" applyFill="1" applyBorder="1"/>
    <xf numFmtId="0" fontId="5" fillId="0" borderId="0" xfId="0" applyFont="1"/>
    <xf numFmtId="0" fontId="0" fillId="0" borderId="0" xfId="0" applyProtection="1"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6" fillId="3" borderId="47" xfId="2" applyFont="1" applyBorder="1" applyAlignment="1" applyProtection="1">
      <alignment horizontal="center" vertical="center"/>
    </xf>
    <xf numFmtId="0" fontId="6" fillId="3" borderId="48" xfId="2" applyFont="1" applyBorder="1" applyAlignment="1" applyProtection="1">
      <alignment horizontal="center" vertical="center"/>
    </xf>
    <xf numFmtId="0" fontId="8" fillId="2" borderId="43" xfId="1" applyNumberFormat="1" applyFont="1" applyBorder="1" applyAlignment="1" applyProtection="1">
      <alignment horizontal="center" vertical="center"/>
      <protection locked="0"/>
    </xf>
    <xf numFmtId="0" fontId="8" fillId="2" borderId="44" xfId="1" applyNumberFormat="1" applyFont="1" applyBorder="1" applyAlignment="1" applyProtection="1">
      <alignment horizontal="center" vertical="center"/>
      <protection locked="0"/>
    </xf>
    <xf numFmtId="0" fontId="13" fillId="11" borderId="45" xfId="4" applyNumberFormat="1" applyBorder="1" applyAlignment="1" applyProtection="1">
      <alignment horizontal="center" vertical="center"/>
      <protection locked="0"/>
    </xf>
    <xf numFmtId="0" fontId="13" fillId="11" borderId="46" xfId="4" applyNumberFormat="1" applyBorder="1" applyAlignment="1" applyProtection="1">
      <alignment horizontal="center" vertical="center"/>
      <protection locked="0"/>
    </xf>
    <xf numFmtId="0" fontId="5" fillId="2" borderId="3" xfId="1" applyFont="1" applyBorder="1" applyAlignment="1" applyProtection="1">
      <alignment horizontal="center"/>
      <protection locked="0"/>
    </xf>
    <xf numFmtId="0" fontId="5" fillId="2" borderId="5" xfId="1" applyFont="1" applyBorder="1" applyAlignment="1" applyProtection="1">
      <alignment horizontal="center"/>
      <protection locked="0"/>
    </xf>
    <xf numFmtId="0" fontId="5" fillId="4" borderId="3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17" fillId="12" borderId="6" xfId="5" applyFont="1" applyBorder="1" applyAlignment="1">
      <alignment horizontal="left" vertical="top" wrapText="1"/>
    </xf>
    <xf numFmtId="0" fontId="17" fillId="12" borderId="7" xfId="5" applyFont="1" applyBorder="1" applyAlignment="1">
      <alignment horizontal="left" vertical="top" wrapText="1"/>
    </xf>
    <xf numFmtId="0" fontId="17" fillId="12" borderId="11" xfId="5" applyFont="1" applyBorder="1" applyAlignment="1">
      <alignment horizontal="left" vertical="top" wrapText="1"/>
    </xf>
    <xf numFmtId="0" fontId="17" fillId="12" borderId="24" xfId="5" applyFont="1" applyBorder="1" applyAlignment="1">
      <alignment horizontal="left" vertical="top" wrapText="1"/>
    </xf>
    <xf numFmtId="0" fontId="17" fillId="12" borderId="0" xfId="5" applyFont="1" applyBorder="1" applyAlignment="1">
      <alignment horizontal="left" vertical="top" wrapText="1"/>
    </xf>
    <xf numFmtId="0" fontId="17" fillId="12" borderId="39" xfId="5" applyFont="1" applyBorder="1" applyAlignment="1">
      <alignment horizontal="left" vertical="top" wrapText="1"/>
    </xf>
    <xf numFmtId="0" fontId="17" fillId="12" borderId="8" xfId="5" applyFont="1" applyBorder="1" applyAlignment="1">
      <alignment horizontal="left" vertical="top" wrapText="1"/>
    </xf>
    <xf numFmtId="0" fontId="17" fillId="12" borderId="9" xfId="5" applyFont="1" applyBorder="1" applyAlignment="1">
      <alignment horizontal="left" vertical="top" wrapText="1"/>
    </xf>
    <xf numFmtId="0" fontId="17" fillId="12" borderId="12" xfId="5" applyFont="1" applyBorder="1" applyAlignment="1">
      <alignment horizontal="left" vertical="top" wrapText="1"/>
    </xf>
    <xf numFmtId="0" fontId="5" fillId="4" borderId="4" xfId="0" applyFont="1" applyFill="1" applyBorder="1"/>
    <xf numFmtId="164" fontId="8" fillId="9" borderId="54" xfId="1" applyNumberFormat="1" applyFont="1" applyFill="1" applyBorder="1" applyProtection="1">
      <protection locked="0"/>
    </xf>
    <xf numFmtId="164" fontId="8" fillId="10" borderId="51" xfId="1" applyNumberFormat="1" applyFont="1" applyFill="1" applyBorder="1" applyProtection="1">
      <protection locked="0"/>
    </xf>
    <xf numFmtId="164" fontId="8" fillId="2" borderId="52" xfId="1" applyNumberFormat="1" applyFont="1" applyBorder="1" applyProtection="1">
      <protection locked="0"/>
    </xf>
    <xf numFmtId="164" fontId="8" fillId="10" borderId="53" xfId="1" applyNumberFormat="1" applyFont="1" applyFill="1" applyBorder="1" applyProtection="1">
      <protection locked="0"/>
    </xf>
    <xf numFmtId="164" fontId="8" fillId="2" borderId="51" xfId="1" applyNumberFormat="1" applyFont="1" applyBorder="1" applyProtection="1">
      <protection locked="0"/>
    </xf>
    <xf numFmtId="164" fontId="8" fillId="10" borderId="52" xfId="1" applyNumberFormat="1" applyFont="1" applyFill="1" applyBorder="1" applyProtection="1">
      <protection locked="0"/>
    </xf>
    <xf numFmtId="164" fontId="8" fillId="2" borderId="53" xfId="1" applyNumberFormat="1" applyFont="1" applyBorder="1" applyProtection="1">
      <protection locked="0"/>
    </xf>
    <xf numFmtId="164" fontId="8" fillId="10" borderId="46" xfId="1" applyNumberFormat="1" applyFont="1" applyFill="1" applyBorder="1" applyProtection="1">
      <protection locked="0"/>
    </xf>
    <xf numFmtId="164" fontId="0" fillId="0" borderId="0" xfId="0" applyNumberFormat="1"/>
  </cellXfs>
  <cellStyles count="6">
    <cellStyle name="Ausgabe" xfId="4" builtinId="21"/>
    <cellStyle name="Eingabe" xfId="1" builtinId="20"/>
    <cellStyle name="Link" xfId="3" builtinId="8"/>
    <cellStyle name="Neutral" xfId="5" builtinId="28"/>
    <cellStyle name="Notiz" xfId="2" builtinId="10"/>
    <cellStyle name="Standard" xfId="0" builtinId="0"/>
  </cellStyles>
  <dxfs count="6">
    <dxf>
      <numFmt numFmtId="164" formatCode="0.00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  <protection locked="0" hidden="0"/>
    </dxf>
    <dxf>
      <protection locked="0" hidden="0"/>
    </dxf>
  </dxfs>
  <tableStyles count="0" defaultTableStyle="TableStyleMedium9" defaultPivotStyle="PivotStyleLight16"/>
  <colors>
    <mruColors>
      <color rgb="FFE5B789"/>
      <color rgb="FFFFCC99"/>
      <color rgb="FFE5E5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24</xdr:row>
          <xdr:rowOff>104775</xdr:rowOff>
        </xdr:from>
        <xdr:to>
          <xdr:col>8</xdr:col>
          <xdr:colOff>66675</xdr:colOff>
          <xdr:row>25</xdr:row>
          <xdr:rowOff>123825</xdr:rowOff>
        </xdr:to>
        <xdr:sp macro="" textlink="">
          <xdr:nvSpPr>
            <xdr:cNvPr id="1025" name="Button 1" descr="Löse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Fehlende Berechnen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1238250</xdr:colOff>
          <xdr:row>24</xdr:row>
          <xdr:rowOff>104775</xdr:rowOff>
        </xdr:from>
        <xdr:to>
          <xdr:col>8</xdr:col>
          <xdr:colOff>2933700</xdr:colOff>
          <xdr:row>25</xdr:row>
          <xdr:rowOff>123825</xdr:rowOff>
        </xdr:to>
        <xdr:sp macro="" textlink="">
          <xdr:nvSpPr>
            <xdr:cNvPr id="1027" name="Button 3" descr="Löse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Formeln löschen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3114675</xdr:colOff>
          <xdr:row>24</xdr:row>
          <xdr:rowOff>104775</xdr:rowOff>
        </xdr:from>
        <xdr:to>
          <xdr:col>8</xdr:col>
          <xdr:colOff>4133850</xdr:colOff>
          <xdr:row>25</xdr:row>
          <xdr:rowOff>123825</xdr:rowOff>
        </xdr:to>
        <xdr:sp macro="" textlink="">
          <xdr:nvSpPr>
            <xdr:cNvPr id="1028" name="Button 4" descr="Löse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Alles Löschen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32</xdr:row>
          <xdr:rowOff>95250</xdr:rowOff>
        </xdr:from>
        <xdr:to>
          <xdr:col>6</xdr:col>
          <xdr:colOff>952500</xdr:colOff>
          <xdr:row>33</xdr:row>
          <xdr:rowOff>123825</xdr:rowOff>
        </xdr:to>
        <xdr:sp macro="" textlink="">
          <xdr:nvSpPr>
            <xdr:cNvPr id="1032" name="Button 8" descr="Löse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Einheit umrechnen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29</xdr:row>
          <xdr:rowOff>38100</xdr:rowOff>
        </xdr:from>
        <xdr:to>
          <xdr:col>6</xdr:col>
          <xdr:colOff>1724025</xdr:colOff>
          <xdr:row>30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Formeln berechnen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E8219B-87DA-40FF-967F-FDD4658890EB}" name="Tabelle1" displayName="Tabelle1" ref="A1:E85" totalsRowShown="0" headerRowDxfId="5" dataDxfId="4">
  <autoFilter ref="A1:E85" xr:uid="{F4E8219B-87DA-40FF-967F-FDD4658890EB}"/>
  <sortState xmlns:xlrd2="http://schemas.microsoft.com/office/spreadsheetml/2017/richdata2" ref="A2:E85">
    <sortCondition descending="1" ref="A1:A85"/>
  </sortState>
  <tableColumns count="5">
    <tableColumn id="1" xr3:uid="{03B108F0-4695-4DBD-9055-404FEC9346EC}" name="Der zu berechnende Wert" dataDxfId="3"/>
    <tableColumn id="2" xr3:uid="{168CA933-6180-4CE4-9740-0039C2720BF2}" name="Formel" dataDxfId="2"/>
    <tableColumn id="3" xr3:uid="{1FCEBC61-ED74-4BC7-A281-B22ADA399804}" name="Abhängigkeiten" dataDxfId="1"/>
    <tableColumn id="5" xr3:uid="{1CAADADE-D4D1-4DD0-B6E6-B43E303B0112}" name="Spalte1" dataCellStyle="Standard"/>
    <tableColumn id="4" xr3:uid="{0CA4CC27-00B7-420D-AB49-0F4B33095ED4}" name="Spalte2" dataDxfId="0" dataCellStyle="Standard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I36"/>
  <sheetViews>
    <sheetView showGridLines="0" zoomScale="145" zoomScaleNormal="145" workbookViewId="0">
      <selection activeCell="G21" sqref="G21"/>
    </sheetView>
  </sheetViews>
  <sheetFormatPr baseColWidth="10" defaultColWidth="9.140625" defaultRowHeight="15"/>
  <cols>
    <col min="1" max="1" width="4.42578125" customWidth="1"/>
    <col min="2" max="2" width="3" customWidth="1"/>
    <col min="3" max="3" width="38.85546875" customWidth="1"/>
    <col min="4" max="4" width="2.140625" hidden="1" customWidth="1"/>
    <col min="5" max="5" width="12.28515625" customWidth="1"/>
    <col min="6" max="6" width="16.28515625" customWidth="1"/>
    <col min="7" max="7" width="19.5703125" customWidth="1"/>
    <col min="8" max="8" width="33" customWidth="1"/>
    <col min="9" max="9" width="104.28515625" customWidth="1"/>
    <col min="11" max="11" width="17.7109375" customWidth="1"/>
  </cols>
  <sheetData>
    <row r="1" spans="1:9" ht="19.5" thickBot="1">
      <c r="A1" s="7" t="s">
        <v>32</v>
      </c>
      <c r="B1" s="6"/>
      <c r="C1" s="6"/>
      <c r="D1" s="4"/>
      <c r="E1" s="4"/>
      <c r="F1" s="4"/>
      <c r="G1" s="4"/>
      <c r="H1" s="4"/>
      <c r="I1" s="5" t="s">
        <v>31</v>
      </c>
    </row>
    <row r="2" spans="1:9" ht="15.75" thickBot="1"/>
    <row r="3" spans="1:9" ht="15.75" thickBot="1">
      <c r="B3" s="1"/>
      <c r="C3" s="34" t="s">
        <v>0</v>
      </c>
      <c r="D3" s="34" t="s">
        <v>260</v>
      </c>
      <c r="E3" s="34" t="s">
        <v>50</v>
      </c>
      <c r="F3" s="34" t="s">
        <v>37</v>
      </c>
      <c r="G3" s="34" t="s">
        <v>34</v>
      </c>
      <c r="H3" s="34" t="s">
        <v>35</v>
      </c>
      <c r="I3" s="35" t="s">
        <v>36</v>
      </c>
    </row>
    <row r="4" spans="1:9">
      <c r="C4" s="2" t="s">
        <v>38</v>
      </c>
      <c r="D4" s="63" t="s">
        <v>41</v>
      </c>
      <c r="E4" s="15" t="s">
        <v>248</v>
      </c>
      <c r="F4" s="36" t="s">
        <v>27</v>
      </c>
      <c r="G4" s="32">
        <v>2.5369999999999999</v>
      </c>
      <c r="H4" s="16"/>
      <c r="I4" s="17"/>
    </row>
    <row r="5" spans="1:9">
      <c r="C5" s="22" t="s">
        <v>39</v>
      </c>
      <c r="D5" s="57" t="s">
        <v>42</v>
      </c>
      <c r="E5" s="23" t="s">
        <v>249</v>
      </c>
      <c r="F5" s="27" t="s">
        <v>27</v>
      </c>
      <c r="G5" s="33">
        <v>2.15</v>
      </c>
      <c r="H5" s="59"/>
      <c r="I5" s="31"/>
    </row>
    <row r="6" spans="1:9">
      <c r="C6" s="21" t="s">
        <v>40</v>
      </c>
      <c r="D6" s="64" t="s">
        <v>186</v>
      </c>
      <c r="E6" s="12" t="s">
        <v>43</v>
      </c>
      <c r="F6" s="13" t="s">
        <v>44</v>
      </c>
      <c r="G6" s="14">
        <v>10</v>
      </c>
      <c r="H6" s="38"/>
      <c r="I6" s="44"/>
    </row>
    <row r="7" spans="1:9">
      <c r="C7" s="24" t="s">
        <v>23</v>
      </c>
      <c r="D7" s="65" t="s">
        <v>21</v>
      </c>
      <c r="E7" s="25" t="s">
        <v>256</v>
      </c>
      <c r="F7" s="26" t="s">
        <v>29</v>
      </c>
      <c r="G7" s="39">
        <v>26.500000000000004</v>
      </c>
      <c r="H7" s="40"/>
      <c r="I7" s="45"/>
    </row>
    <row r="8" spans="1:9">
      <c r="C8" s="18" t="s">
        <v>26</v>
      </c>
      <c r="D8" t="s">
        <v>18</v>
      </c>
      <c r="E8" s="3" t="s">
        <v>265</v>
      </c>
      <c r="F8" s="11" t="s">
        <v>29</v>
      </c>
      <c r="G8" s="8">
        <v>10</v>
      </c>
      <c r="H8" s="60"/>
      <c r="I8" s="19"/>
    </row>
    <row r="9" spans="1:9">
      <c r="C9" s="22" t="s">
        <v>6</v>
      </c>
      <c r="D9" s="57" t="s">
        <v>187</v>
      </c>
      <c r="E9" s="23" t="s">
        <v>257</v>
      </c>
      <c r="F9" s="27" t="s">
        <v>29</v>
      </c>
      <c r="G9" s="33"/>
      <c r="H9" s="59"/>
      <c r="I9" s="31"/>
    </row>
    <row r="10" spans="1:9">
      <c r="C10" s="18" t="s">
        <v>13</v>
      </c>
      <c r="D10" t="s">
        <v>19</v>
      </c>
      <c r="E10" s="3" t="s">
        <v>258</v>
      </c>
      <c r="F10" s="11" t="s">
        <v>29</v>
      </c>
      <c r="G10" s="8"/>
      <c r="H10" s="60"/>
      <c r="I10" s="19"/>
    </row>
    <row r="11" spans="1:9">
      <c r="C11" s="28" t="s">
        <v>14</v>
      </c>
      <c r="D11" s="66" t="s">
        <v>20</v>
      </c>
      <c r="E11" s="29" t="s">
        <v>259</v>
      </c>
      <c r="F11" s="30" t="s">
        <v>29</v>
      </c>
      <c r="G11" s="41"/>
      <c r="H11" s="42"/>
      <c r="I11" s="46"/>
    </row>
    <row r="12" spans="1:9">
      <c r="C12" s="20" t="s">
        <v>22</v>
      </c>
      <c r="D12" s="67" t="s">
        <v>15</v>
      </c>
      <c r="E12" s="9" t="s">
        <v>250</v>
      </c>
      <c r="F12" s="10" t="s">
        <v>45</v>
      </c>
      <c r="G12" s="43"/>
      <c r="H12" s="37"/>
      <c r="I12" s="47"/>
    </row>
    <row r="13" spans="1:9">
      <c r="C13" s="22" t="s">
        <v>46</v>
      </c>
      <c r="D13" s="57" t="s">
        <v>47</v>
      </c>
      <c r="E13" s="23" t="s">
        <v>266</v>
      </c>
      <c r="F13" s="27" t="s">
        <v>45</v>
      </c>
      <c r="G13" s="33"/>
      <c r="H13" s="59"/>
      <c r="I13" s="31"/>
    </row>
    <row r="14" spans="1:9">
      <c r="C14" s="68" t="s">
        <v>25</v>
      </c>
      <c r="D14" s="69" t="s">
        <v>17</v>
      </c>
      <c r="E14" s="70" t="s">
        <v>251</v>
      </c>
      <c r="F14" s="71" t="s">
        <v>45</v>
      </c>
      <c r="G14" s="14"/>
      <c r="H14" s="38"/>
      <c r="I14" s="44"/>
    </row>
    <row r="15" spans="1:9">
      <c r="C15" s="24" t="s">
        <v>1</v>
      </c>
      <c r="D15" s="65" t="s">
        <v>2</v>
      </c>
      <c r="E15" s="25" t="s">
        <v>252</v>
      </c>
      <c r="F15" s="26" t="s">
        <v>28</v>
      </c>
      <c r="G15" s="39"/>
      <c r="H15" s="40"/>
      <c r="I15" s="45"/>
    </row>
    <row r="16" spans="1:9">
      <c r="C16" s="18" t="s">
        <v>52</v>
      </c>
      <c r="D16" t="s">
        <v>3</v>
      </c>
      <c r="E16" s="3" t="s">
        <v>253</v>
      </c>
      <c r="F16" s="11" t="s">
        <v>28</v>
      </c>
      <c r="G16" s="8"/>
      <c r="H16" s="61"/>
      <c r="I16" s="49"/>
    </row>
    <row r="17" spans="3:9">
      <c r="C17" s="22" t="s">
        <v>53</v>
      </c>
      <c r="D17" s="57" t="s">
        <v>51</v>
      </c>
      <c r="E17" s="23" t="s">
        <v>254</v>
      </c>
      <c r="F17" s="27" t="s">
        <v>28</v>
      </c>
      <c r="G17" s="33"/>
      <c r="H17" s="59"/>
      <c r="I17" s="31"/>
    </row>
    <row r="18" spans="3:9">
      <c r="C18" s="18" t="s">
        <v>4</v>
      </c>
      <c r="D18" t="s">
        <v>5</v>
      </c>
      <c r="E18" s="3" t="s">
        <v>264</v>
      </c>
      <c r="F18" s="11" t="s">
        <v>28</v>
      </c>
      <c r="G18" s="8"/>
      <c r="H18" s="61"/>
      <c r="I18" s="49"/>
    </row>
    <row r="19" spans="3:9">
      <c r="C19" s="72" t="s">
        <v>24</v>
      </c>
      <c r="D19" s="73" t="s">
        <v>16</v>
      </c>
      <c r="E19" s="74" t="s">
        <v>247</v>
      </c>
      <c r="F19" s="75" t="s">
        <v>28</v>
      </c>
      <c r="G19" s="41">
        <v>1.2559999999999971E-3</v>
      </c>
      <c r="H19" s="42"/>
      <c r="I19" s="46"/>
    </row>
    <row r="20" spans="3:9">
      <c r="C20" s="20" t="s">
        <v>7</v>
      </c>
      <c r="D20" s="67" t="s">
        <v>188</v>
      </c>
      <c r="E20" s="9" t="s">
        <v>8</v>
      </c>
      <c r="F20" s="10" t="s">
        <v>30</v>
      </c>
      <c r="G20" s="8"/>
      <c r="H20" s="61"/>
      <c r="I20" s="19"/>
    </row>
    <row r="21" spans="3:9">
      <c r="C21" s="22" t="s">
        <v>9</v>
      </c>
      <c r="D21" s="57" t="s">
        <v>189</v>
      </c>
      <c r="E21" s="23" t="s">
        <v>10</v>
      </c>
      <c r="F21" s="27" t="s">
        <v>30</v>
      </c>
      <c r="G21" s="33"/>
      <c r="H21" s="59"/>
      <c r="I21" s="31"/>
    </row>
    <row r="22" spans="3:9">
      <c r="C22" s="18" t="s">
        <v>11</v>
      </c>
      <c r="D22" t="s">
        <v>12</v>
      </c>
      <c r="E22" s="3" t="s">
        <v>255</v>
      </c>
      <c r="F22" s="11" t="s">
        <v>30</v>
      </c>
      <c r="G22" s="8"/>
      <c r="H22" s="61"/>
      <c r="I22" s="19"/>
    </row>
    <row r="23" spans="3:9" ht="15.75" thickBot="1">
      <c r="C23" s="62" t="s">
        <v>48</v>
      </c>
      <c r="D23" s="58" t="s">
        <v>190</v>
      </c>
      <c r="E23" s="50" t="s">
        <v>49</v>
      </c>
      <c r="F23" s="56" t="s">
        <v>30</v>
      </c>
      <c r="G23" s="51"/>
      <c r="H23" s="52"/>
      <c r="I23" s="53"/>
    </row>
    <row r="24" spans="3:9" ht="15.75" thickBot="1"/>
    <row r="25" spans="3:9" ht="15.75" thickBot="1">
      <c r="F25" s="106" t="s">
        <v>33</v>
      </c>
      <c r="G25" s="107"/>
      <c r="H25" s="76"/>
      <c r="I25" s="77"/>
    </row>
    <row r="26" spans="3:9" ht="15.75" thickBot="1">
      <c r="F26" s="104">
        <v>6</v>
      </c>
      <c r="G26" s="105"/>
      <c r="H26" s="78"/>
      <c r="I26" s="79"/>
    </row>
    <row r="29" spans="3:9" ht="15.75" thickBot="1"/>
    <row r="30" spans="3:9" ht="15.75" thickBot="1">
      <c r="F30" s="80" t="s">
        <v>86</v>
      </c>
      <c r="G30" s="81"/>
      <c r="H30" s="34" t="s">
        <v>37</v>
      </c>
      <c r="I30" s="84" t="s">
        <v>36</v>
      </c>
    </row>
    <row r="31" spans="3:9">
      <c r="F31" s="100"/>
      <c r="G31" s="101"/>
      <c r="H31" s="54" t="s">
        <v>60</v>
      </c>
      <c r="I31" s="98" t="s">
        <v>263</v>
      </c>
    </row>
    <row r="32" spans="3:9" ht="15.75" thickBot="1">
      <c r="F32" s="102">
        <v>0</v>
      </c>
      <c r="G32" s="103"/>
      <c r="H32" s="55" t="s">
        <v>56</v>
      </c>
      <c r="I32" s="99"/>
    </row>
    <row r="33" spans="6:7">
      <c r="F33" s="82"/>
      <c r="G33" s="83"/>
    </row>
    <row r="34" spans="6:7" ht="15.75" thickBot="1">
      <c r="F34" s="78"/>
      <c r="G34" s="79"/>
    </row>
    <row r="36" spans="6:7">
      <c r="G36" s="48"/>
    </row>
  </sheetData>
  <sheetProtection algorithmName="SHA-512" hashValue="B5DRP6mo+TJMArnMB33WY14hZvI+5QURUkwYO31hR0puNPlLnwKlTHTd2YVJVcQHA9NVgQnsXQTROm+sfUDZfw==" saltValue="JmSYl52p4r+u5vIlw036Fw==" spinCount="100000" sheet="1" objects="1" scenarios="1" selectLockedCells="1"/>
  <mergeCells count="5">
    <mergeCell ref="I31:I32"/>
    <mergeCell ref="F31:G31"/>
    <mergeCell ref="F32:G32"/>
    <mergeCell ref="F26:G26"/>
    <mergeCell ref="F25:G25"/>
  </mergeCells>
  <dataValidations count="1">
    <dataValidation type="list" allowBlank="1" showInputMessage="1" showErrorMessage="1" sqref="F11" xr:uid="{51D4D242-CC18-44B6-8018-C07E8564D994}">
      <formula1>#REF!</formula1>
    </dataValidation>
  </dataValidations>
  <hyperlinks>
    <hyperlink ref="I1" r:id="rId1" xr:uid="{08AA7F34-DE7D-478E-B2E7-D256BA8AAC6D}"/>
  </hyperlinks>
  <pageMargins left="0.75" right="0.75" top="1" bottom="1" header="0.5" footer="0.5"/>
  <pageSetup orientation="portrait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erechneAlleZellenMitFormelTracking" altText="Lösen">
                <anchor moveWithCells="1">
                  <from>
                    <xdr:col>7</xdr:col>
                    <xdr:colOff>457200</xdr:colOff>
                    <xdr:row>24</xdr:row>
                    <xdr:rowOff>104775</xdr:rowOff>
                  </from>
                  <to>
                    <xdr:col>8</xdr:col>
                    <xdr:colOff>66675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eleteColumnsEandFContents" altText="Lösen">
                <anchor moveWithCells="1">
                  <from>
                    <xdr:col>8</xdr:col>
                    <xdr:colOff>1238250</xdr:colOff>
                    <xdr:row>24</xdr:row>
                    <xdr:rowOff>104775</xdr:rowOff>
                  </from>
                  <to>
                    <xdr:col>8</xdr:col>
                    <xdr:colOff>2933700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ColumnsDEFContents" altText="Lösen">
                <anchor moveWithCells="1">
                  <from>
                    <xdr:col>8</xdr:col>
                    <xdr:colOff>3114675</xdr:colOff>
                    <xdr:row>24</xdr:row>
                    <xdr:rowOff>104775</xdr:rowOff>
                  </from>
                  <to>
                    <xdr:col>8</xdr:col>
                    <xdr:colOff>4133850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UnitConversion" altText="Lösen">
                <anchor moveWithCells="1">
                  <from>
                    <xdr:col>5</xdr:col>
                    <xdr:colOff>333375</xdr:colOff>
                    <xdr:row>32</xdr:row>
                    <xdr:rowOff>95250</xdr:rowOff>
                  </from>
                  <to>
                    <xdr:col>6</xdr:col>
                    <xdr:colOff>952500</xdr:colOff>
                    <xdr:row>33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1BA287-9602-4B6A-B8A8-5F92B80A216C}">
          <x14:formula1>
            <xm:f>Einheiten!$A$2:$A$57</xm:f>
          </x14:formula1>
          <xm:sqref>H31:H32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4483F-B0E5-43EC-BDB0-BAAB56F38EC8}">
  <sheetPr codeName="Tabelle3"/>
  <dimension ref="A1:P85"/>
  <sheetViews>
    <sheetView tabSelected="1" zoomScale="130" zoomScaleNormal="130" workbookViewId="0">
      <selection activeCell="G34" sqref="G34"/>
    </sheetView>
  </sheetViews>
  <sheetFormatPr baseColWidth="10" defaultRowHeight="15"/>
  <cols>
    <col min="1" max="1" width="26" style="96" customWidth="1"/>
    <col min="2" max="2" width="30.85546875" style="96" bestFit="1" customWidth="1"/>
    <col min="3" max="3" width="23.42578125" style="96" bestFit="1" customWidth="1"/>
    <col min="4" max="4" width="50.5703125" bestFit="1" customWidth="1"/>
    <col min="5" max="5" width="19.42578125" style="126" customWidth="1"/>
    <col min="7" max="7" width="37.140625" bestFit="1" customWidth="1"/>
    <col min="9" max="9" width="15.28515625" customWidth="1"/>
  </cols>
  <sheetData>
    <row r="1" spans="1:16">
      <c r="A1" s="96" t="s">
        <v>182</v>
      </c>
      <c r="B1" s="96" t="s">
        <v>35</v>
      </c>
      <c r="C1" s="96" t="s">
        <v>183</v>
      </c>
      <c r="D1" t="s">
        <v>268</v>
      </c>
      <c r="E1" s="126" t="s">
        <v>269</v>
      </c>
    </row>
    <row r="2" spans="1:16">
      <c r="A2" s="97" t="s">
        <v>18</v>
      </c>
      <c r="B2" s="97" t="s">
        <v>185</v>
      </c>
      <c r="C2" s="97" t="s">
        <v>139</v>
      </c>
    </row>
    <row r="3" spans="1:16" ht="15.75" thickBot="1">
      <c r="A3" s="97" t="s">
        <v>18</v>
      </c>
      <c r="B3" s="97" t="s">
        <v>246</v>
      </c>
      <c r="C3" s="97" t="s">
        <v>245</v>
      </c>
    </row>
    <row r="4" spans="1:16" ht="19.5" customHeight="1">
      <c r="A4" s="97" t="s">
        <v>18</v>
      </c>
      <c r="B4" s="97" t="s">
        <v>184</v>
      </c>
      <c r="C4" s="97" t="s">
        <v>138</v>
      </c>
      <c r="G4" s="108" t="s">
        <v>261</v>
      </c>
      <c r="H4" s="109"/>
      <c r="I4" s="109"/>
      <c r="J4" s="109"/>
      <c r="K4" s="109"/>
      <c r="L4" s="109"/>
      <c r="M4" s="109"/>
      <c r="N4" s="109"/>
      <c r="O4" s="109"/>
      <c r="P4" s="110"/>
    </row>
    <row r="5" spans="1:16">
      <c r="A5" s="97" t="s">
        <v>21</v>
      </c>
      <c r="B5" s="97" t="s">
        <v>122</v>
      </c>
      <c r="C5" s="97" t="s">
        <v>123</v>
      </c>
      <c r="G5" s="111"/>
      <c r="H5" s="112"/>
      <c r="I5" s="112"/>
      <c r="J5" s="112"/>
      <c r="K5" s="112"/>
      <c r="L5" s="112"/>
      <c r="M5" s="112"/>
      <c r="N5" s="112"/>
      <c r="O5" s="112"/>
      <c r="P5" s="113"/>
    </row>
    <row r="6" spans="1:16" ht="15.75" thickBot="1">
      <c r="A6" s="97" t="s">
        <v>21</v>
      </c>
      <c r="B6" s="97" t="s">
        <v>126</v>
      </c>
      <c r="C6" s="97" t="s">
        <v>127</v>
      </c>
      <c r="G6" s="114"/>
      <c r="H6" s="115"/>
      <c r="I6" s="115"/>
      <c r="J6" s="115"/>
      <c r="K6" s="115"/>
      <c r="L6" s="115"/>
      <c r="M6" s="115"/>
      <c r="N6" s="115"/>
      <c r="O6" s="115"/>
      <c r="P6" s="116"/>
    </row>
    <row r="7" spans="1:16" ht="15.75" thickBot="1">
      <c r="A7" s="97" t="s">
        <v>21</v>
      </c>
      <c r="B7" s="97" t="s">
        <v>124</v>
      </c>
      <c r="C7" s="97" t="s">
        <v>125</v>
      </c>
    </row>
    <row r="8" spans="1:16" ht="15.75" thickBot="1">
      <c r="A8" s="97" t="s">
        <v>21</v>
      </c>
      <c r="B8" s="97" t="s">
        <v>270</v>
      </c>
      <c r="C8" s="97" t="s">
        <v>242</v>
      </c>
      <c r="G8" s="85" t="s">
        <v>0</v>
      </c>
      <c r="H8" s="117" t="s">
        <v>262</v>
      </c>
      <c r="I8" s="84" t="s">
        <v>267</v>
      </c>
    </row>
    <row r="9" spans="1:16">
      <c r="A9" s="97" t="s">
        <v>20</v>
      </c>
      <c r="B9" s="97" t="s">
        <v>177</v>
      </c>
      <c r="C9" s="97" t="s">
        <v>178</v>
      </c>
      <c r="G9" s="18" t="s">
        <v>38</v>
      </c>
      <c r="H9" s="86" t="s">
        <v>41</v>
      </c>
      <c r="I9" s="118">
        <v>2.5369999999999999</v>
      </c>
    </row>
    <row r="10" spans="1:16">
      <c r="A10" s="97" t="s">
        <v>20</v>
      </c>
      <c r="B10" s="97" t="s">
        <v>175</v>
      </c>
      <c r="C10" s="97" t="s">
        <v>176</v>
      </c>
      <c r="G10" s="22" t="s">
        <v>39</v>
      </c>
      <c r="H10" s="87" t="s">
        <v>42</v>
      </c>
      <c r="I10" s="119">
        <v>2.15</v>
      </c>
    </row>
    <row r="11" spans="1:16">
      <c r="A11" s="97" t="s">
        <v>20</v>
      </c>
      <c r="B11" s="97" t="s">
        <v>244</v>
      </c>
      <c r="C11" s="97" t="s">
        <v>243</v>
      </c>
      <c r="G11" s="21" t="s">
        <v>40</v>
      </c>
      <c r="H11" s="88" t="s">
        <v>186</v>
      </c>
      <c r="I11" s="120">
        <v>10</v>
      </c>
    </row>
    <row r="12" spans="1:16">
      <c r="A12" s="97" t="s">
        <v>19</v>
      </c>
      <c r="B12" s="97" t="s">
        <v>171</v>
      </c>
      <c r="C12" s="97" t="s">
        <v>172</v>
      </c>
      <c r="G12" s="24" t="s">
        <v>23</v>
      </c>
      <c r="H12" s="89" t="s">
        <v>21</v>
      </c>
      <c r="I12" s="121">
        <v>26.500000000000004</v>
      </c>
    </row>
    <row r="13" spans="1:16">
      <c r="A13" s="97" t="s">
        <v>19</v>
      </c>
      <c r="B13" s="97" t="s">
        <v>173</v>
      </c>
      <c r="C13" s="97" t="s">
        <v>174</v>
      </c>
      <c r="G13" s="18" t="s">
        <v>26</v>
      </c>
      <c r="H13" s="86" t="s">
        <v>18</v>
      </c>
      <c r="I13" s="122">
        <v>10</v>
      </c>
    </row>
    <row r="14" spans="1:16">
      <c r="A14" s="97" t="s">
        <v>19</v>
      </c>
      <c r="B14" s="97" t="s">
        <v>96</v>
      </c>
      <c r="C14" s="97" t="s">
        <v>170</v>
      </c>
      <c r="G14" s="22" t="s">
        <v>6</v>
      </c>
      <c r="H14" s="87" t="s">
        <v>187</v>
      </c>
      <c r="I14" s="119">
        <v>20.199044585987256</v>
      </c>
    </row>
    <row r="15" spans="1:16">
      <c r="A15" s="97" t="s">
        <v>19</v>
      </c>
      <c r="B15" s="97" t="s">
        <v>241</v>
      </c>
      <c r="C15" s="97" t="s">
        <v>242</v>
      </c>
      <c r="G15" s="18" t="s">
        <v>13</v>
      </c>
      <c r="H15" s="86" t="s">
        <v>19</v>
      </c>
      <c r="I15" s="122">
        <v>17.117834394904456</v>
      </c>
    </row>
    <row r="16" spans="1:16">
      <c r="A16" s="97" t="s">
        <v>187</v>
      </c>
      <c r="B16" s="97" t="s">
        <v>152</v>
      </c>
      <c r="C16" s="97" t="s">
        <v>153</v>
      </c>
      <c r="G16" s="28" t="s">
        <v>14</v>
      </c>
      <c r="H16" s="90" t="s">
        <v>20</v>
      </c>
      <c r="I16" s="123">
        <v>20.658274245883948</v>
      </c>
    </row>
    <row r="17" spans="1:9">
      <c r="A17" s="97" t="s">
        <v>187</v>
      </c>
      <c r="B17" s="97" t="s">
        <v>154</v>
      </c>
      <c r="C17" s="97" t="s">
        <v>155</v>
      </c>
      <c r="G17" s="20" t="s">
        <v>22</v>
      </c>
      <c r="H17" s="91" t="s">
        <v>15</v>
      </c>
      <c r="I17" s="124">
        <v>21.5</v>
      </c>
    </row>
    <row r="18" spans="1:9">
      <c r="A18" s="97" t="s">
        <v>187</v>
      </c>
      <c r="B18" s="97" t="s">
        <v>95</v>
      </c>
      <c r="C18" s="97" t="s">
        <v>151</v>
      </c>
      <c r="G18" s="22" t="s">
        <v>46</v>
      </c>
      <c r="H18" s="87" t="s">
        <v>47</v>
      </c>
      <c r="I18" s="119">
        <v>3.870000000000001</v>
      </c>
    </row>
    <row r="19" spans="1:9">
      <c r="A19" s="97" t="s">
        <v>187</v>
      </c>
      <c r="B19" s="97" t="s">
        <v>237</v>
      </c>
      <c r="C19" s="97" t="s">
        <v>238</v>
      </c>
      <c r="G19" s="68" t="s">
        <v>25</v>
      </c>
      <c r="H19" s="92" t="s">
        <v>17</v>
      </c>
      <c r="I19" s="120">
        <v>25.369999999999997</v>
      </c>
    </row>
    <row r="20" spans="1:9">
      <c r="A20" s="97" t="s">
        <v>187</v>
      </c>
      <c r="B20" s="97" t="s">
        <v>240</v>
      </c>
      <c r="C20" s="97" t="s">
        <v>239</v>
      </c>
      <c r="G20" s="24" t="s">
        <v>1</v>
      </c>
      <c r="H20" s="89" t="s">
        <v>2</v>
      </c>
      <c r="I20" s="121">
        <v>8.1132075471698111E-4</v>
      </c>
    </row>
    <row r="21" spans="1:9">
      <c r="A21" s="97" t="s">
        <v>188</v>
      </c>
      <c r="B21" s="97" t="s">
        <v>91</v>
      </c>
      <c r="C21" s="97" t="s">
        <v>156</v>
      </c>
      <c r="G21" s="18" t="s">
        <v>52</v>
      </c>
      <c r="H21" s="86" t="s">
        <v>3</v>
      </c>
      <c r="I21" s="122">
        <v>4.4467924528301896E-4</v>
      </c>
    </row>
    <row r="22" spans="1:9">
      <c r="A22" s="97" t="s">
        <v>188</v>
      </c>
      <c r="B22" s="97" t="s">
        <v>234</v>
      </c>
      <c r="C22" s="97" t="s">
        <v>233</v>
      </c>
      <c r="G22" s="22" t="s">
        <v>53</v>
      </c>
      <c r="H22" s="87" t="s">
        <v>51</v>
      </c>
      <c r="I22" s="119">
        <v>5.7679245283018927E-5</v>
      </c>
    </row>
    <row r="23" spans="1:9">
      <c r="A23" s="97" t="s">
        <v>188</v>
      </c>
      <c r="B23" s="97" t="s">
        <v>157</v>
      </c>
      <c r="C23" s="97" t="s">
        <v>158</v>
      </c>
      <c r="G23" s="18" t="s">
        <v>4</v>
      </c>
      <c r="H23" s="86" t="s">
        <v>5</v>
      </c>
      <c r="I23" s="122">
        <v>3.8700000000000008E-4</v>
      </c>
    </row>
    <row r="24" spans="1:9">
      <c r="A24" s="97" t="s">
        <v>5</v>
      </c>
      <c r="B24" s="97" t="s">
        <v>90</v>
      </c>
      <c r="C24" s="97" t="s">
        <v>146</v>
      </c>
      <c r="G24" s="72" t="s">
        <v>24</v>
      </c>
      <c r="H24" s="93" t="s">
        <v>16</v>
      </c>
      <c r="I24" s="123">
        <v>1.2559999999999971E-3</v>
      </c>
    </row>
    <row r="25" spans="1:9">
      <c r="A25" s="97" t="s">
        <v>5</v>
      </c>
      <c r="B25" s="97" t="s">
        <v>149</v>
      </c>
      <c r="C25" s="97" t="s">
        <v>150</v>
      </c>
      <c r="G25" s="20" t="s">
        <v>7</v>
      </c>
      <c r="H25" s="91" t="s">
        <v>188</v>
      </c>
      <c r="I25" s="122">
        <v>0.18000000000000005</v>
      </c>
    </row>
    <row r="26" spans="1:9">
      <c r="A26" s="97" t="s">
        <v>5</v>
      </c>
      <c r="B26" s="97" t="s">
        <v>276</v>
      </c>
      <c r="C26" s="97" t="s">
        <v>275</v>
      </c>
      <c r="G26" s="22" t="s">
        <v>9</v>
      </c>
      <c r="H26" s="87" t="s">
        <v>189</v>
      </c>
      <c r="I26" s="119">
        <v>0.35404398509794505</v>
      </c>
    </row>
    <row r="27" spans="1:9">
      <c r="A27" s="97" t="s">
        <v>5</v>
      </c>
      <c r="B27" s="97" t="s">
        <v>147</v>
      </c>
      <c r="C27" s="97" t="s">
        <v>148</v>
      </c>
      <c r="G27" s="18" t="s">
        <v>11</v>
      </c>
      <c r="H27" s="86" t="s">
        <v>12</v>
      </c>
      <c r="I27" s="122">
        <v>0.87029022403258616</v>
      </c>
    </row>
    <row r="28" spans="1:9" ht="15.75" thickBot="1">
      <c r="A28" s="97" t="s">
        <v>5</v>
      </c>
      <c r="B28" s="97" t="s">
        <v>235</v>
      </c>
      <c r="C28" s="97" t="s">
        <v>236</v>
      </c>
      <c r="G28" s="62" t="s">
        <v>48</v>
      </c>
      <c r="H28" s="94" t="s">
        <v>190</v>
      </c>
      <c r="I28" s="125">
        <v>0.5480930232558141</v>
      </c>
    </row>
    <row r="29" spans="1:9">
      <c r="A29" s="97" t="s">
        <v>16</v>
      </c>
      <c r="B29" s="97" t="s">
        <v>130</v>
      </c>
      <c r="C29" s="97" t="s">
        <v>131</v>
      </c>
    </row>
    <row r="30" spans="1:9">
      <c r="A30" s="97" t="s">
        <v>16</v>
      </c>
      <c r="B30" s="97" t="s">
        <v>229</v>
      </c>
      <c r="C30" s="97" t="s">
        <v>228</v>
      </c>
    </row>
    <row r="31" spans="1:9">
      <c r="A31" s="97" t="s">
        <v>16</v>
      </c>
      <c r="B31" s="97" t="s">
        <v>230</v>
      </c>
      <c r="C31" s="97" t="s">
        <v>226</v>
      </c>
    </row>
    <row r="32" spans="1:9">
      <c r="A32" s="97" t="s">
        <v>16</v>
      </c>
      <c r="B32" s="97" t="s">
        <v>232</v>
      </c>
      <c r="C32" s="97" t="s">
        <v>231</v>
      </c>
    </row>
    <row r="33" spans="1:3">
      <c r="A33" s="97" t="s">
        <v>16</v>
      </c>
      <c r="B33" s="97" t="s">
        <v>128</v>
      </c>
      <c r="C33" s="97" t="s">
        <v>129</v>
      </c>
    </row>
    <row r="34" spans="1:3">
      <c r="A34" s="97" t="s">
        <v>2</v>
      </c>
      <c r="B34" s="97" t="s">
        <v>88</v>
      </c>
      <c r="C34" s="97" t="s">
        <v>140</v>
      </c>
    </row>
    <row r="35" spans="1:3">
      <c r="A35" s="97" t="s">
        <v>2</v>
      </c>
      <c r="B35" s="97" t="s">
        <v>225</v>
      </c>
      <c r="C35" s="97" t="s">
        <v>226</v>
      </c>
    </row>
    <row r="36" spans="1:3">
      <c r="A36" s="97" t="s">
        <v>2</v>
      </c>
      <c r="B36" s="97" t="s">
        <v>141</v>
      </c>
      <c r="C36" s="97" t="s">
        <v>142</v>
      </c>
    </row>
    <row r="37" spans="1:3">
      <c r="A37" s="97" t="s">
        <v>2</v>
      </c>
      <c r="B37" s="97" t="s">
        <v>227</v>
      </c>
      <c r="C37" s="97" t="s">
        <v>223</v>
      </c>
    </row>
    <row r="38" spans="1:3">
      <c r="A38" s="97" t="s">
        <v>3</v>
      </c>
      <c r="B38" s="97" t="s">
        <v>273</v>
      </c>
      <c r="C38" s="97" t="s">
        <v>274</v>
      </c>
    </row>
    <row r="39" spans="1:3">
      <c r="A39" s="97" t="s">
        <v>3</v>
      </c>
      <c r="B39" s="97" t="s">
        <v>222</v>
      </c>
      <c r="C39" s="97" t="s">
        <v>221</v>
      </c>
    </row>
    <row r="40" spans="1:3">
      <c r="A40" s="97" t="s">
        <v>3</v>
      </c>
      <c r="B40" s="97" t="s">
        <v>89</v>
      </c>
      <c r="C40" s="97" t="s">
        <v>143</v>
      </c>
    </row>
    <row r="41" spans="1:3">
      <c r="A41" s="97" t="s">
        <v>3</v>
      </c>
      <c r="B41" s="97" t="s">
        <v>224</v>
      </c>
      <c r="C41" s="97" t="s">
        <v>223</v>
      </c>
    </row>
    <row r="42" spans="1:3">
      <c r="A42" s="97" t="s">
        <v>3</v>
      </c>
      <c r="B42" s="97" t="s">
        <v>144</v>
      </c>
      <c r="C42" s="97" t="s">
        <v>145</v>
      </c>
    </row>
    <row r="43" spans="1:3">
      <c r="A43" s="97" t="s">
        <v>51</v>
      </c>
      <c r="B43" s="97" t="s">
        <v>219</v>
      </c>
      <c r="C43" s="97" t="s">
        <v>220</v>
      </c>
    </row>
    <row r="44" spans="1:3">
      <c r="A44" s="97" t="s">
        <v>51</v>
      </c>
      <c r="B44" s="97" t="s">
        <v>98</v>
      </c>
      <c r="C44" s="97" t="s">
        <v>99</v>
      </c>
    </row>
    <row r="45" spans="1:3">
      <c r="A45" s="97" t="s">
        <v>51</v>
      </c>
      <c r="B45" s="97" t="s">
        <v>100</v>
      </c>
      <c r="C45" s="97" t="s">
        <v>101</v>
      </c>
    </row>
    <row r="46" spans="1:3">
      <c r="A46" s="97" t="s">
        <v>12</v>
      </c>
      <c r="B46" s="97" t="s">
        <v>215</v>
      </c>
      <c r="C46" s="97" t="s">
        <v>216</v>
      </c>
    </row>
    <row r="47" spans="1:3">
      <c r="A47" s="97" t="s">
        <v>12</v>
      </c>
      <c r="B47" s="97" t="s">
        <v>218</v>
      </c>
      <c r="C47" s="97" t="s">
        <v>217</v>
      </c>
    </row>
    <row r="48" spans="1:3">
      <c r="A48" s="97" t="s">
        <v>12</v>
      </c>
      <c r="B48" s="97" t="s">
        <v>168</v>
      </c>
      <c r="C48" s="97" t="s">
        <v>169</v>
      </c>
    </row>
    <row r="49" spans="1:3">
      <c r="A49" s="97" t="s">
        <v>12</v>
      </c>
      <c r="B49" s="97" t="s">
        <v>93</v>
      </c>
      <c r="C49" s="97" t="s">
        <v>167</v>
      </c>
    </row>
    <row r="50" spans="1:3">
      <c r="A50" s="97" t="s">
        <v>189</v>
      </c>
      <c r="B50" s="97" t="s">
        <v>160</v>
      </c>
      <c r="C50" s="97" t="s">
        <v>143</v>
      </c>
    </row>
    <row r="51" spans="1:3">
      <c r="A51" s="97" t="s">
        <v>189</v>
      </c>
      <c r="B51" s="97" t="s">
        <v>161</v>
      </c>
      <c r="C51" s="97" t="s">
        <v>162</v>
      </c>
    </row>
    <row r="52" spans="1:3">
      <c r="A52" s="97" t="s">
        <v>189</v>
      </c>
      <c r="B52" s="97" t="s">
        <v>165</v>
      </c>
      <c r="C52" s="97" t="s">
        <v>166</v>
      </c>
    </row>
    <row r="53" spans="1:3">
      <c r="A53" s="97" t="s">
        <v>189</v>
      </c>
      <c r="B53" s="97" t="s">
        <v>214</v>
      </c>
      <c r="C53" s="97" t="s">
        <v>190</v>
      </c>
    </row>
    <row r="54" spans="1:3">
      <c r="A54" s="97" t="s">
        <v>189</v>
      </c>
      <c r="B54" s="97" t="s">
        <v>163</v>
      </c>
      <c r="C54" s="97" t="s">
        <v>164</v>
      </c>
    </row>
    <row r="55" spans="1:3">
      <c r="A55" s="97" t="s">
        <v>189</v>
      </c>
      <c r="B55" s="97" t="s">
        <v>92</v>
      </c>
      <c r="C55" s="97" t="s">
        <v>159</v>
      </c>
    </row>
    <row r="56" spans="1:3">
      <c r="A56" s="97" t="s">
        <v>41</v>
      </c>
      <c r="B56" s="97" t="s">
        <v>209</v>
      </c>
      <c r="C56" s="97" t="s">
        <v>208</v>
      </c>
    </row>
    <row r="57" spans="1:3">
      <c r="A57" s="97" t="s">
        <v>41</v>
      </c>
      <c r="B57" s="97" t="s">
        <v>210</v>
      </c>
      <c r="C57" s="97" t="s">
        <v>211</v>
      </c>
    </row>
    <row r="58" spans="1:3">
      <c r="A58" s="97" t="s">
        <v>41</v>
      </c>
      <c r="B58" s="97" t="s">
        <v>213</v>
      </c>
      <c r="C58" s="97" t="s">
        <v>212</v>
      </c>
    </row>
    <row r="59" spans="1:3">
      <c r="A59" s="97" t="s">
        <v>42</v>
      </c>
      <c r="B59" s="97" t="s">
        <v>204</v>
      </c>
      <c r="C59" s="97" t="s">
        <v>205</v>
      </c>
    </row>
    <row r="60" spans="1:3">
      <c r="A60" s="97" t="s">
        <v>42</v>
      </c>
      <c r="B60" s="97" t="s">
        <v>206</v>
      </c>
      <c r="C60" s="97" t="s">
        <v>207</v>
      </c>
    </row>
    <row r="61" spans="1:3">
      <c r="A61" s="97" t="s">
        <v>42</v>
      </c>
      <c r="B61" s="97" t="s">
        <v>272</v>
      </c>
      <c r="C61" s="97" t="s">
        <v>271</v>
      </c>
    </row>
    <row r="62" spans="1:3">
      <c r="A62" s="97" t="s">
        <v>47</v>
      </c>
      <c r="B62" s="97" t="s">
        <v>181</v>
      </c>
      <c r="C62" s="97" t="s">
        <v>156</v>
      </c>
    </row>
    <row r="63" spans="1:3">
      <c r="A63" s="97" t="s">
        <v>47</v>
      </c>
      <c r="B63" s="97" t="s">
        <v>203</v>
      </c>
      <c r="C63" s="97" t="s">
        <v>202</v>
      </c>
    </row>
    <row r="64" spans="1:3">
      <c r="A64" s="97" t="s">
        <v>47</v>
      </c>
      <c r="B64" s="97" t="s">
        <v>97</v>
      </c>
      <c r="C64" s="97" t="s">
        <v>180</v>
      </c>
    </row>
    <row r="65" spans="1:3">
      <c r="A65" s="97" t="s">
        <v>17</v>
      </c>
      <c r="B65" s="97" t="s">
        <v>196</v>
      </c>
      <c r="C65" s="97" t="s">
        <v>197</v>
      </c>
    </row>
    <row r="66" spans="1:3">
      <c r="A66" s="97" t="s">
        <v>17</v>
      </c>
      <c r="B66" s="97" t="s">
        <v>136</v>
      </c>
      <c r="C66" s="97" t="s">
        <v>137</v>
      </c>
    </row>
    <row r="67" spans="1:3">
      <c r="A67" s="97" t="s">
        <v>17</v>
      </c>
      <c r="B67" s="97" t="s">
        <v>132</v>
      </c>
      <c r="C67" s="97" t="s">
        <v>133</v>
      </c>
    </row>
    <row r="68" spans="1:3">
      <c r="A68" s="97" t="s">
        <v>17</v>
      </c>
      <c r="B68" s="97" t="s">
        <v>134</v>
      </c>
      <c r="C68" s="97" t="s">
        <v>135</v>
      </c>
    </row>
    <row r="69" spans="1:3">
      <c r="A69" s="97" t="s">
        <v>17</v>
      </c>
      <c r="B69" s="97" t="s">
        <v>199</v>
      </c>
      <c r="C69" s="97" t="s">
        <v>198</v>
      </c>
    </row>
    <row r="70" spans="1:3">
      <c r="A70" s="97" t="s">
        <v>17</v>
      </c>
      <c r="B70" s="97" t="s">
        <v>200</v>
      </c>
      <c r="C70" s="97" t="s">
        <v>201</v>
      </c>
    </row>
    <row r="71" spans="1:3">
      <c r="A71" s="97" t="s">
        <v>15</v>
      </c>
      <c r="B71" s="97" t="s">
        <v>118</v>
      </c>
      <c r="C71" s="97" t="s">
        <v>119</v>
      </c>
    </row>
    <row r="72" spans="1:3">
      <c r="A72" s="97" t="s">
        <v>15</v>
      </c>
      <c r="B72" s="97" t="s">
        <v>192</v>
      </c>
      <c r="C72" s="97" t="s">
        <v>193</v>
      </c>
    </row>
    <row r="73" spans="1:3">
      <c r="A73" s="97" t="s">
        <v>15</v>
      </c>
      <c r="B73" s="97" t="s">
        <v>116</v>
      </c>
      <c r="C73" s="97" t="s">
        <v>117</v>
      </c>
    </row>
    <row r="74" spans="1:3">
      <c r="A74" s="97" t="s">
        <v>15</v>
      </c>
      <c r="B74" s="97" t="s">
        <v>108</v>
      </c>
      <c r="C74" s="97" t="s">
        <v>109</v>
      </c>
    </row>
    <row r="75" spans="1:3">
      <c r="A75" s="97" t="s">
        <v>15</v>
      </c>
      <c r="B75" s="97" t="s">
        <v>112</v>
      </c>
      <c r="C75" s="97" t="s">
        <v>113</v>
      </c>
    </row>
    <row r="76" spans="1:3">
      <c r="A76" s="97" t="s">
        <v>15</v>
      </c>
      <c r="B76" s="97" t="s">
        <v>194</v>
      </c>
      <c r="C76" s="97" t="s">
        <v>195</v>
      </c>
    </row>
    <row r="77" spans="1:3">
      <c r="A77" s="97" t="s">
        <v>15</v>
      </c>
      <c r="B77" s="97" t="s">
        <v>106</v>
      </c>
      <c r="C77" s="97" t="s">
        <v>107</v>
      </c>
    </row>
    <row r="78" spans="1:3">
      <c r="A78" s="97" t="s">
        <v>15</v>
      </c>
      <c r="B78" s="97" t="s">
        <v>114</v>
      </c>
      <c r="C78" s="97" t="s">
        <v>115</v>
      </c>
    </row>
    <row r="79" spans="1:3">
      <c r="A79" s="97" t="s">
        <v>15</v>
      </c>
      <c r="B79" s="97" t="s">
        <v>110</v>
      </c>
      <c r="C79" s="97" t="s">
        <v>111</v>
      </c>
    </row>
    <row r="80" spans="1:3">
      <c r="A80" s="97" t="s">
        <v>15</v>
      </c>
      <c r="B80" s="97" t="s">
        <v>120</v>
      </c>
      <c r="C80" s="97" t="s">
        <v>121</v>
      </c>
    </row>
    <row r="81" spans="1:3">
      <c r="A81" s="97" t="s">
        <v>186</v>
      </c>
      <c r="B81" s="97" t="s">
        <v>104</v>
      </c>
      <c r="C81" s="97" t="s">
        <v>105</v>
      </c>
    </row>
    <row r="82" spans="1:3">
      <c r="A82" s="97" t="s">
        <v>186</v>
      </c>
      <c r="B82" s="97" t="s">
        <v>102</v>
      </c>
      <c r="C82" s="97" t="s">
        <v>103</v>
      </c>
    </row>
    <row r="83" spans="1:3">
      <c r="A83" s="97" t="s">
        <v>190</v>
      </c>
      <c r="B83" s="97" t="s">
        <v>179</v>
      </c>
      <c r="C83" s="97" t="s">
        <v>143</v>
      </c>
    </row>
    <row r="84" spans="1:3">
      <c r="A84" s="97" t="s">
        <v>190</v>
      </c>
      <c r="B84" s="97" t="s">
        <v>191</v>
      </c>
      <c r="C84" s="97" t="s">
        <v>189</v>
      </c>
    </row>
    <row r="85" spans="1:3">
      <c r="A85" s="97" t="s">
        <v>190</v>
      </c>
      <c r="B85" s="97" t="s">
        <v>94</v>
      </c>
      <c r="C85" s="97" t="s">
        <v>164</v>
      </c>
    </row>
  </sheetData>
  <mergeCells count="1">
    <mergeCell ref="G4:P6"/>
  </mergeCells>
  <phoneticPr fontId="14" type="noConversion"/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estFormelnUndBerechnen">
                <anchor moveWithCells="1">
                  <from>
                    <xdr:col>6</xdr:col>
                    <xdr:colOff>276225</xdr:colOff>
                    <xdr:row>29</xdr:row>
                    <xdr:rowOff>38100</xdr:rowOff>
                  </from>
                  <to>
                    <xdr:col>6</xdr:col>
                    <xdr:colOff>1724025</xdr:colOff>
                    <xdr:row>30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74052-C48C-459B-B006-37E98A53B089}">
  <sheetPr codeName="Tabelle2"/>
  <dimension ref="A1:A39"/>
  <sheetViews>
    <sheetView workbookViewId="0">
      <selection activeCell="D9" sqref="D9"/>
    </sheetView>
  </sheetViews>
  <sheetFormatPr baseColWidth="10" defaultRowHeight="15"/>
  <sheetData>
    <row r="1" spans="1:1">
      <c r="A1" s="95" t="s">
        <v>85</v>
      </c>
    </row>
    <row r="2" spans="1:1">
      <c r="A2" t="s">
        <v>27</v>
      </c>
    </row>
    <row r="3" spans="1:1">
      <c r="A3" t="s">
        <v>43</v>
      </c>
    </row>
    <row r="4" spans="1:1">
      <c r="A4" t="s">
        <v>54</v>
      </c>
    </row>
    <row r="5" spans="1:1">
      <c r="A5" t="s">
        <v>55</v>
      </c>
    </row>
    <row r="6" spans="1:1">
      <c r="A6" t="s">
        <v>56</v>
      </c>
    </row>
    <row r="7" spans="1:1">
      <c r="A7" t="s">
        <v>57</v>
      </c>
    </row>
    <row r="8" spans="1:1">
      <c r="A8" t="s">
        <v>45</v>
      </c>
    </row>
    <row r="9" spans="1:1">
      <c r="A9" t="s">
        <v>60</v>
      </c>
    </row>
    <row r="10" spans="1:1">
      <c r="A10" t="s">
        <v>61</v>
      </c>
    </row>
    <row r="11" spans="1:1">
      <c r="A11" t="s">
        <v>44</v>
      </c>
    </row>
    <row r="12" spans="1:1">
      <c r="A12" t="s">
        <v>58</v>
      </c>
    </row>
    <row r="13" spans="1:1">
      <c r="A13" t="s">
        <v>59</v>
      </c>
    </row>
    <row r="14" spans="1:1">
      <c r="A14" t="s">
        <v>28</v>
      </c>
    </row>
    <row r="15" spans="1:1">
      <c r="A15" t="s">
        <v>62</v>
      </c>
    </row>
    <row r="16" spans="1:1">
      <c r="A16" t="s">
        <v>63</v>
      </c>
    </row>
    <row r="17" spans="1:1">
      <c r="A17" t="s">
        <v>64</v>
      </c>
    </row>
    <row r="18" spans="1:1">
      <c r="A18" t="s">
        <v>65</v>
      </c>
    </row>
    <row r="19" spans="1:1">
      <c r="A19" t="s">
        <v>66</v>
      </c>
    </row>
    <row r="20" spans="1:1">
      <c r="A20" t="s">
        <v>82</v>
      </c>
    </row>
    <row r="21" spans="1:1">
      <c r="A21" t="s">
        <v>78</v>
      </c>
    </row>
    <row r="22" spans="1:1">
      <c r="A22" t="s">
        <v>74</v>
      </c>
    </row>
    <row r="23" spans="1:1">
      <c r="A23" t="s">
        <v>67</v>
      </c>
    </row>
    <row r="24" spans="1:1">
      <c r="A24" t="s">
        <v>81</v>
      </c>
    </row>
    <row r="25" spans="1:1">
      <c r="A25" t="s">
        <v>77</v>
      </c>
    </row>
    <row r="26" spans="1:1">
      <c r="A26" t="s">
        <v>73</v>
      </c>
    </row>
    <row r="27" spans="1:1">
      <c r="A27" t="s">
        <v>29</v>
      </c>
    </row>
    <row r="28" spans="1:1">
      <c r="A28" t="s">
        <v>72</v>
      </c>
    </row>
    <row r="29" spans="1:1">
      <c r="A29" t="s">
        <v>70</v>
      </c>
    </row>
    <row r="30" spans="1:1">
      <c r="A30" t="s">
        <v>84</v>
      </c>
    </row>
    <row r="31" spans="1:1">
      <c r="A31" t="s">
        <v>87</v>
      </c>
    </row>
    <row r="32" spans="1:1">
      <c r="A32" t="s">
        <v>80</v>
      </c>
    </row>
    <row r="33" spans="1:1">
      <c r="A33" t="s">
        <v>76</v>
      </c>
    </row>
    <row r="34" spans="1:1">
      <c r="A34" t="s">
        <v>71</v>
      </c>
    </row>
    <row r="35" spans="1:1">
      <c r="A35" t="s">
        <v>68</v>
      </c>
    </row>
    <row r="36" spans="1:1">
      <c r="A36" t="s">
        <v>83</v>
      </c>
    </row>
    <row r="37" spans="1:1">
      <c r="A37" t="s">
        <v>79</v>
      </c>
    </row>
    <row r="38" spans="1:1">
      <c r="A38" t="s">
        <v>75</v>
      </c>
    </row>
    <row r="39" spans="1:1">
      <c r="A39" t="s">
        <v>69</v>
      </c>
    </row>
  </sheetData>
  <sheetProtection algorithmName="SHA-512" hashValue="w4RCql6ygTroSg9xS2tXuS6qSzWlry6V2qHHv0V7mY8OEC55ux0qnHWqCdXpy7iFSD5w40190MwZKlvaQRqvpA==" saltValue="la6oNDZEXFVPCqONaAHtIw==" spinCount="100000" sheet="1" objects="1" scenarios="1" selectLockedCells="1" selectUnlockedCells="1"/>
  <phoneticPr fontId="14" type="noConversion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E27B18-94C4-41FC-AE3B-2EF0E61C240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Bodenberechnungen</vt:lpstr>
      <vt:lpstr>Formeln</vt:lpstr>
      <vt:lpstr>Einheiten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Jerry</cp:lastModifiedBy>
  <dcterms:created xsi:type="dcterms:W3CDTF">2024-11-21T14:03:03Z</dcterms:created>
  <dcterms:modified xsi:type="dcterms:W3CDTF">2024-11-28T15:07:30Z</dcterms:modified>
</cp:coreProperties>
</file>