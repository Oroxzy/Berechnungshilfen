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trlProps/ctrlProp6.xml" ContentType="application/vnd.ms-excel.controlproperties+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8129" codeName="{DC747B9D-DBBB-FA85-71B4-595EBAB97821}"/>
  <workbookPr codeName="DieseArbeitsmappe"/>
  <mc:AlternateContent xmlns:mc="http://schemas.openxmlformats.org/markup-compatibility/2006">
    <mc:Choice Requires="x15">
      <x15ac:absPath xmlns:x15ac="http://schemas.microsoft.com/office/spreadsheetml/2010/11/ac" url="\\Mac\Home\Documents\Berechnungshilfen\Excel\GB Grundbau\"/>
    </mc:Choice>
  </mc:AlternateContent>
  <xr:revisionPtr revIDLastSave="0" documentId="13_ncr:1_{7CC4C036-C652-4D51-9CFF-9E3F97BDE0A6}" xr6:coauthVersionLast="47" xr6:coauthVersionMax="47" xr10:uidLastSave="{00000000-0000-0000-0000-000000000000}"/>
  <bookViews>
    <workbookView xWindow="-98" yWindow="-98" windowWidth="25846" windowHeight="13996" activeTab="1" xr2:uid="{00000000-000D-0000-FFFF-FFFF00000000}"/>
  </bookViews>
  <sheets>
    <sheet name="Bodenberechnungen" sheetId="1" r:id="rId1"/>
    <sheet name="Formeln" sheetId="3" r:id="rId2"/>
    <sheet name="Einheiten" sheetId="2" state="hidden" r:id="rId3"/>
  </sheets>
  <functionGroups builtInGroupCount="19"/>
  <definedNames>
    <definedName name="_xleta.N"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<sst xmlns="http://schemas.openxmlformats.org/spreadsheetml/2006/main" count="757" uniqueCount="534">
  <si>
    <t>Beschreibung</t>
  </si>
  <si>
    <t>Volumen Festsubstanz</t>
  </si>
  <si>
    <t>V_s</t>
  </si>
  <si>
    <t>V_p</t>
  </si>
  <si>
    <t>Volumen Wasser</t>
  </si>
  <si>
    <t>V_w</t>
  </si>
  <si>
    <t>Feuchtraumgewicht</t>
  </si>
  <si>
    <t>Wassergehalt</t>
  </si>
  <si>
    <t>w</t>
  </si>
  <si>
    <t>Porosität</t>
  </si>
  <si>
    <t>n</t>
  </si>
  <si>
    <t>Sättigungsgrad</t>
  </si>
  <si>
    <t>S_r</t>
  </si>
  <si>
    <t>Trockenraumgewicht</t>
  </si>
  <si>
    <t>Raumgewicht gesättigt</t>
  </si>
  <si>
    <t>G_s</t>
  </si>
  <si>
    <t>V_tot</t>
  </si>
  <si>
    <t>G_tot</t>
  </si>
  <si>
    <t>y_w</t>
  </si>
  <si>
    <t>y_d</t>
  </si>
  <si>
    <t>y_g</t>
  </si>
  <si>
    <t>y_s</t>
  </si>
  <si>
    <t>Gewicht der Festsubstanz</t>
  </si>
  <si>
    <t>Spezifisches Gewicht der Festsubstanz</t>
  </si>
  <si>
    <t>Gesamtvolumen</t>
  </si>
  <si>
    <t>Gesamtgewicht</t>
  </si>
  <si>
    <t>Spezifisches Gewicht des Wassers</t>
  </si>
  <si>
    <t>kg</t>
  </si>
  <si>
    <t>m³</t>
  </si>
  <si>
    <t>kN/m³</t>
  </si>
  <si>
    <t>%</t>
  </si>
  <si>
    <t>meile.jeremy@stud.bauschule.ch</t>
  </si>
  <si>
    <t xml:space="preserve"> Zustandsgrössen des Bodens, Volumenbilanz</t>
  </si>
  <si>
    <t>Nachkommastellen</t>
  </si>
  <si>
    <t>Wert</t>
  </si>
  <si>
    <t>Formel</t>
  </si>
  <si>
    <t>Lösungsweg</t>
  </si>
  <si>
    <t>Einheit</t>
  </si>
  <si>
    <t>Masse der Probe in natürlichem Zustand</t>
  </si>
  <si>
    <t>Masse der Probe nach der Trocknung</t>
  </si>
  <si>
    <t>Erdbeschleunigung</t>
  </si>
  <si>
    <t>m_tot</t>
  </si>
  <si>
    <t>m_s</t>
  </si>
  <si>
    <t>g</t>
  </si>
  <si>
    <t>m/s²</t>
  </si>
  <si>
    <t>N</t>
  </si>
  <si>
    <t>Gewicht des Wassers</t>
  </si>
  <si>
    <t>G_w</t>
  </si>
  <si>
    <t>Hohlraumverhältnis</t>
  </si>
  <si>
    <t>e</t>
  </si>
  <si>
    <t>Bezeichnung</t>
  </si>
  <si>
    <t>V_l</t>
  </si>
  <si>
    <t>Porenvolumen</t>
  </si>
  <si>
    <t>Volume Luft</t>
  </si>
  <si>
    <t>mg</t>
  </si>
  <si>
    <t>µg</t>
  </si>
  <si>
    <t>t</t>
  </si>
  <si>
    <t>kt</t>
  </si>
  <si>
    <t>cm/s²</t>
  </si>
  <si>
    <t>mm/s²</t>
  </si>
  <si>
    <t>kN</t>
  </si>
  <si>
    <t>MN</t>
  </si>
  <si>
    <t>dm³</t>
  </si>
  <si>
    <t>cm³</t>
  </si>
  <si>
    <t>mm³</t>
  </si>
  <si>
    <t>hl</t>
  </si>
  <si>
    <t>l</t>
  </si>
  <si>
    <t>N/m³</t>
  </si>
  <si>
    <t>kg/m³</t>
  </si>
  <si>
    <t>t/m³</t>
  </si>
  <si>
    <t>g/cm³</t>
  </si>
  <si>
    <t>kg/dm³</t>
  </si>
  <si>
    <t>g/mm³</t>
  </si>
  <si>
    <t>kN/dm³</t>
  </si>
  <si>
    <t>N/dm³</t>
  </si>
  <si>
    <t>t/dm³</t>
  </si>
  <si>
    <t>kg/cm³</t>
  </si>
  <si>
    <t>kN/cm³</t>
  </si>
  <si>
    <t>N/cm³</t>
  </si>
  <si>
    <t>t/cm³</t>
  </si>
  <si>
    <t>kg/mm³</t>
  </si>
  <si>
    <t>kN/mm³</t>
  </si>
  <si>
    <t>N/mm³</t>
  </si>
  <si>
    <t>t/mm³</t>
  </si>
  <si>
    <t>g/dm³</t>
  </si>
  <si>
    <t>Einheiten</t>
  </si>
  <si>
    <t>Einheiten umrechnen</t>
  </si>
  <si>
    <t>g/m³</t>
  </si>
  <si>
    <t>(G_s / 1000) / y_s</t>
  </si>
  <si>
    <t>V_tot - V_s</t>
  </si>
  <si>
    <t>(G_tot - G_s) / (y_w * 1000)</t>
  </si>
  <si>
    <t>(G_tot - G_s) / G_s</t>
  </si>
  <si>
    <t>V_p / V_tot</t>
  </si>
  <si>
    <t>V_w / V_p</t>
  </si>
  <si>
    <t>V_p / V_s</t>
  </si>
  <si>
    <t>G_tot / V_tot / 1000</t>
  </si>
  <si>
    <t>G_s / V_tot / 1000</t>
  </si>
  <si>
    <t>y_w * V_w * 1000</t>
  </si>
  <si>
    <t>V_p - V_w</t>
  </si>
  <si>
    <t>V_p, V_w</t>
  </si>
  <si>
    <t>V_tot - (V_s + V_w)</t>
  </si>
  <si>
    <t>V_tot, V_s, V_w</t>
  </si>
  <si>
    <t>G_tot / m_tot</t>
  </si>
  <si>
    <t>G_tot, m_tot</t>
  </si>
  <si>
    <t>G_s / m_s</t>
  </si>
  <si>
    <t>G_s, m_s</t>
  </si>
  <si>
    <t>V_s * y_s * 1000</t>
  </si>
  <si>
    <t>V_s, y_s</t>
  </si>
  <si>
    <t>G_tot - (V_w * y_w * 1000)</t>
  </si>
  <si>
    <t>G_tot, V_w, y_w</t>
  </si>
  <si>
    <t>y_d * V_tot * 1000</t>
  </si>
  <si>
    <t>y_d, V_tot</t>
  </si>
  <si>
    <t>G_tot - G_w</t>
  </si>
  <si>
    <t>G_tot, G_w</t>
  </si>
  <si>
    <t>V_tot * y_d * 1000</t>
  </si>
  <si>
    <t>V_tot, y_d</t>
  </si>
  <si>
    <t>y_s * V_s * 1000</t>
  </si>
  <si>
    <t>y_s, V_s</t>
  </si>
  <si>
    <t>(G_s / 1000) / V_s</t>
  </si>
  <si>
    <t>G_s, V_s</t>
  </si>
  <si>
    <t>(y_d * V_tot) / V_s</t>
  </si>
  <si>
    <t>y_d, V_tot, V_s</t>
  </si>
  <si>
    <t>V_s + V_p</t>
  </si>
  <si>
    <t>V_s, V_p</t>
  </si>
  <si>
    <t>(G_tot - G_w) / (y_d * 1000)</t>
  </si>
  <si>
    <t>G_tot, G_w, y_d</t>
  </si>
  <si>
    <t>G_s + (V_w * y_w * 1000)</t>
  </si>
  <si>
    <t>G_s, V_w, y_w</t>
  </si>
  <si>
    <t>G_s + G_w</t>
  </si>
  <si>
    <t>G_s, G_w</t>
  </si>
  <si>
    <t>(y_s * V_s * 1000) + G_w</t>
  </si>
  <si>
    <t>y_s, V_s, G_w</t>
  </si>
  <si>
    <t>G_w, V_w</t>
  </si>
  <si>
    <t>G_tot, G_s, V_w</t>
  </si>
  <si>
    <t>G_s, y_s</t>
  </si>
  <si>
    <t>V_tot - V_p</t>
  </si>
  <si>
    <t>V_tot, V_p</t>
  </si>
  <si>
    <t>V_tot, V_s</t>
  </si>
  <si>
    <t>V_w / S_r</t>
  </si>
  <si>
    <t>V_w, S_r</t>
  </si>
  <si>
    <t>G_tot, G_s, y_w</t>
  </si>
  <si>
    <t>V_p * S_r</t>
  </si>
  <si>
    <t>V_p, S_r</t>
  </si>
  <si>
    <t>G_w / (y_w * 1000)</t>
  </si>
  <si>
    <t>G_w, y_w</t>
  </si>
  <si>
    <t>G_tot, V_tot</t>
  </si>
  <si>
    <t>(G_s + G_w) / V_tot / 1000</t>
  </si>
  <si>
    <t>G_s, G_w, V_tot</t>
  </si>
  <si>
    <t>(V_s * y_s + V_w * y_w) / V_tot</t>
  </si>
  <si>
    <t>V_s, y_s, V_w, y_w, V_tot</t>
  </si>
  <si>
    <t>G_tot, G_s</t>
  </si>
  <si>
    <t>G_w / G_s</t>
  </si>
  <si>
    <t>G_w, G_s</t>
  </si>
  <si>
    <t>V_p, V_tot</t>
  </si>
  <si>
    <t>(V_tot - V_s) / V_tot</t>
  </si>
  <si>
    <t>(y_g - y_d) / y_w</t>
  </si>
  <si>
    <t>y_g, y_d, y_w</t>
  </si>
  <si>
    <t>V_p / (V_s + V_p)</t>
  </si>
  <si>
    <t>V_p, V_s</t>
  </si>
  <si>
    <t>1 - (V_s / V_tot)</t>
  </si>
  <si>
    <t>V_s, V_tot</t>
  </si>
  <si>
    <t>V_w, V_p</t>
  </si>
  <si>
    <t>G_w / (V_p * y_w * 1000)</t>
  </si>
  <si>
    <t>G_w, V_p, y_w</t>
  </si>
  <si>
    <t>G_s, V_tot</t>
  </si>
  <si>
    <t>(G_tot - G_w) / V_tot / 1000</t>
  </si>
  <si>
    <t>G_tot, G_w, V_tot</t>
  </si>
  <si>
    <t>(V_s * y_s) / V_tot</t>
  </si>
  <si>
    <t>V_s, y_s, V_tot</t>
  </si>
  <si>
    <t>y_d + ((V_p / V_tot) * y_w)</t>
  </si>
  <si>
    <t>y_d, V_p, V_tot, y_w</t>
  </si>
  <si>
    <t>y_d + (((V_tot - V_s) / V_tot) * y_w)</t>
  </si>
  <si>
    <t>y_d, V_tot, V_s, y_w</t>
  </si>
  <si>
    <t>(V_tot - V_s) / V_s</t>
  </si>
  <si>
    <t>y_w, V_w</t>
  </si>
  <si>
    <t>G_tot - G_s</t>
  </si>
  <si>
    <t>Der zu berechnende Wert</t>
  </si>
  <si>
    <t>Abhängigkeiten</t>
  </si>
  <si>
    <t>G_w / V_w / 1000</t>
  </si>
  <si>
    <t>(G_tot - G_s) / V_w / 1000</t>
  </si>
  <si>
    <t>g_</t>
  </si>
  <si>
    <t>y_</t>
  </si>
  <si>
    <t>w_</t>
  </si>
  <si>
    <t>n_</t>
  </si>
  <si>
    <t>e_</t>
  </si>
  <si>
    <t>n_ / (1 - n_)</t>
  </si>
  <si>
    <t>(y_g - (n_ * y_w)) * V_tot * 1000</t>
  </si>
  <si>
    <t>y_g, n_, y_w, V_tot</t>
  </si>
  <si>
    <t>m_s * g_</t>
  </si>
  <si>
    <t>m_s, g_</t>
  </si>
  <si>
    <t>(m_s * g_) + (V_w * y_w * 1000)</t>
  </si>
  <si>
    <t>m_s, g_, V_w, y_w</t>
  </si>
  <si>
    <t>m_tot, g_</t>
  </si>
  <si>
    <t>m_tot * g_</t>
  </si>
  <si>
    <t>y_ * V_tot * 1000</t>
  </si>
  <si>
    <t>y_, V_tot</t>
  </si>
  <si>
    <t>w_, G_s</t>
  </si>
  <si>
    <t>w_ * G_s</t>
  </si>
  <si>
    <t>G_s / g_</t>
  </si>
  <si>
    <t>G_s, g_</t>
  </si>
  <si>
    <t>m_tot / (1 + w_)</t>
  </si>
  <si>
    <t>m_tot, w_</t>
  </si>
  <si>
    <t>G_tot, g_</t>
  </si>
  <si>
    <t>G_tot / g_</t>
  </si>
  <si>
    <t>m_s * (1 + w_)</t>
  </si>
  <si>
    <t>m_s, w_</t>
  </si>
  <si>
    <t>V_tot, y_, g_</t>
  </si>
  <si>
    <t>V_tot * (y_ * 1000 / g_)</t>
  </si>
  <si>
    <t>e_ / (1 + e_)</t>
  </si>
  <si>
    <t>(w_ * V_s * y_s) / (V_p * y_w)</t>
  </si>
  <si>
    <t>w_, V_s, y_s, V_p, y_w</t>
  </si>
  <si>
    <t>G_w, n_, V_tot, y_w</t>
  </si>
  <si>
    <t>G_w / (n_ * V_tot * y_w * 1000)</t>
  </si>
  <si>
    <t>n_ * V_tot - V_w</t>
  </si>
  <si>
    <t>n_, V_tot, V_w</t>
  </si>
  <si>
    <t>n_, V_s</t>
  </si>
  <si>
    <t>n_ * (V_s / (1 - n_))</t>
  </si>
  <si>
    <t>V_tot, n_</t>
  </si>
  <si>
    <t>V_tot * n_</t>
  </si>
  <si>
    <t>V_p / (n_ / (1 - n_))</t>
  </si>
  <si>
    <t>V_p, n_</t>
  </si>
  <si>
    <t>V_tot * (1 - n_)</t>
  </si>
  <si>
    <t>G_tot, y_</t>
  </si>
  <si>
    <t>(G_tot / 1000) / y_</t>
  </si>
  <si>
    <t>V_p / n_</t>
  </si>
  <si>
    <t>V_s, n_</t>
  </si>
  <si>
    <t>V_s / (1 - n_)</t>
  </si>
  <si>
    <t>y_, y_d</t>
  </si>
  <si>
    <t>(y_ - y_d) / y_d</t>
  </si>
  <si>
    <t>V_tot * (n_ * S_r)</t>
  </si>
  <si>
    <t>V_tot, n_, S_r</t>
  </si>
  <si>
    <t>y_d + (n_ * S_r * y_w)</t>
  </si>
  <si>
    <t>y_d, n_, S_r, y_w</t>
  </si>
  <si>
    <t>y_g, S_r, n_, y_w</t>
  </si>
  <si>
    <t>y_g - ((1 - S_r) * n_ * y_w)</t>
  </si>
  <si>
    <t>y_g - (n_ * y_w)</t>
  </si>
  <si>
    <t>y_g, n_, y_w</t>
  </si>
  <si>
    <t>y_d, n_, y_w</t>
  </si>
  <si>
    <t>y_d + (n_ * y_w)</t>
  </si>
  <si>
    <t>w_, G_s, V_w</t>
  </si>
  <si>
    <t>(w_ * G_s) / V_w / 1000</t>
  </si>
  <si>
    <t>Vₜₒₜ</t>
  </si>
  <si>
    <t>mₜₒₜ</t>
  </si>
  <si>
    <t>mₛ</t>
  </si>
  <si>
    <t>Gₛ</t>
  </si>
  <si>
    <t>Gₜₒₜ</t>
  </si>
  <si>
    <t>Vₛ</t>
  </si>
  <si>
    <t>Vₚ</t>
  </si>
  <si>
    <t>Vₗ</t>
  </si>
  <si>
    <t>Sᵣ</t>
  </si>
  <si>
    <t>γₛ</t>
  </si>
  <si>
    <t>γ</t>
  </si>
  <si>
    <t>γᵈ</t>
  </si>
  <si>
    <t>γᵍ</t>
  </si>
  <si>
    <t>Symbol</t>
  </si>
  <si>
    <t>Zeichen</t>
  </si>
  <si>
    <t>Vʷ</t>
  </si>
  <si>
    <t>γʷ</t>
  </si>
  <si>
    <t>Gʷ</t>
  </si>
  <si>
    <t>Testwerte</t>
  </si>
  <si>
    <t>(y_g - (n_ * y_w)) / (1 - n_)</t>
  </si>
  <si>
    <t>V_s, y_s, g_</t>
  </si>
  <si>
    <t>V_s * (y_s * 1000 / g_)</t>
  </si>
  <si>
    <t>(G_tot / 1000) / y_ - V_s</t>
  </si>
  <si>
    <t>G_tot, y_, V_s</t>
  </si>
  <si>
    <t>n_, V_tot, S_r</t>
  </si>
  <si>
    <t>n_ * V_tot * S_r</t>
  </si>
  <si>
    <t>In der Tabelle unten können Sie zusätzliche Formeln einfügen. Achten Sie dabei darauf, dass die Zeichen exakt eingehalten werden, da ansonsten Fehler bei der Berechnung auftreten können.</t>
  </si>
  <si>
    <t>In diesem Bereich können die Formeln aus der Tabelle unten überprüft und getestet werden. Jede Gruppe von Zeilen in der unteren Tabelle berechnet denselben Zielwert (Spalte 1), wobei jede Zeile eine andere Formel verwendet, um diesen Wert zu ermitteln. Das Ziel ist sicherzustellen, dass alle Formeln innerhalb einer Gruppe für denselben zu berechnenden Wert übereinstimmende Ergebnisse liefern.
Der Button dient dazu, die Berechnungen automatisch durchzuführen und die Ergebnisse zu überprüfen. Die Testwerte in den roten Zellen der linken Tabelle wurden korrekt aufeinander abgestimmt, können aber durch neue Werte ersetzt werden, um die Formeln mit alternativen Daten zu testen.</t>
  </si>
  <si>
    <t>Lösungswege mit Werten</t>
  </si>
  <si>
    <t>Ergebnis</t>
  </si>
  <si>
    <t>(1 - n_) * y_s</t>
  </si>
  <si>
    <t>n_,y_s</t>
  </si>
  <si>
    <t>y_d,n_,g_</t>
  </si>
  <si>
    <t>y_d + ( n_ * g_)</t>
  </si>
  <si>
    <t>S_r,y_w,y_d,y_w,y_s</t>
  </si>
  <si>
    <t>S_r * (y_w / y_d - y_w / y_s)</t>
  </si>
  <si>
    <t>V_w / V_s * y_w / y_s</t>
  </si>
  <si>
    <t>V_w,V_s,y_w,y_s</t>
  </si>
  <si>
    <t>m_tot / y_ / 100</t>
  </si>
  <si>
    <t xml:space="preserve">m_tot,y_ </t>
  </si>
  <si>
    <t>G_tot - ((V_p - V_l) * y_w * 1000)</t>
  </si>
  <si>
    <t>G_tot, V_p, y_w, V_l</t>
  </si>
  <si>
    <t>1-(y_d/y_s)</t>
  </si>
  <si>
    <t>(w_*y_d)/(n_*y_w)</t>
  </si>
  <si>
    <t>y_d,y_s</t>
  </si>
  <si>
    <t>w_,y_d,n_,y_w</t>
  </si>
  <si>
    <t>0 kN * 1000 = 0 N</t>
  </si>
  <si>
    <t>y_d * (1 + e_)</t>
  </si>
  <si>
    <t>y_d * (1 + n_ / (1 - n_))</t>
  </si>
  <si>
    <t>y_d / (1 - n_)</t>
  </si>
  <si>
    <t>(G_tot - G_w) / (V_tot * 1000 * (1 - n_))</t>
  </si>
  <si>
    <t>y_d + (y_d * e_)</t>
  </si>
  <si>
    <t>G_s / (V_tot - V_p) / 1000</t>
  </si>
  <si>
    <t>y_d,e_</t>
  </si>
  <si>
    <t>y_d,n_</t>
  </si>
  <si>
    <t>G_tot,G_w,V_tot,n_</t>
  </si>
  <si>
    <t>G_s,V_tot_V_p</t>
  </si>
  <si>
    <t>(y_g - y_d) / n_</t>
  </si>
  <si>
    <t>y_g,y_d,n_</t>
  </si>
  <si>
    <t>(y_s * (1 - n_)) + (y_w * n_)</t>
  </si>
  <si>
    <t>y_s + n_ * (y_w - y_s)</t>
  </si>
  <si>
    <t>y_s / (1 + e_)</t>
  </si>
  <si>
    <t>y_s,e_</t>
  </si>
  <si>
    <t>y_s,n_,y_w,y_s</t>
  </si>
  <si>
    <t>y_s,n_,y_w,n_</t>
  </si>
  <si>
    <t>y_g - (n_ * (1 - S_r) * y_w)</t>
  </si>
  <si>
    <t>(G_s + G_w) / (V_tot * 1000)</t>
  </si>
  <si>
    <t>y_g, n_, S_r, y_w</t>
  </si>
  <si>
    <t>V_w / (V_s * y_s / y_w)</t>
  </si>
  <si>
    <t>V_s * w_ * y_s / y_w</t>
  </si>
  <si>
    <t>V_w, V_s, y_s, y_w</t>
  </si>
  <si>
    <t>V_s, w_, y_s, y_w</t>
  </si>
  <si>
    <t>V_w / (n_ * S_r)</t>
  </si>
  <si>
    <t>V_w, n_, S_r</t>
  </si>
  <si>
    <t>G_s / (y_s * 1000)</t>
  </si>
  <si>
    <t>e_ * V_s</t>
  </si>
  <si>
    <t>e_,V_s</t>
  </si>
  <si>
    <t>V_w / (n_ * V_tot)</t>
  </si>
  <si>
    <t>V_w,n_,V_tot</t>
  </si>
  <si>
    <t>V_w / (V_tot * n_)</t>
  </si>
  <si>
    <t>V_w,V_tot,n_</t>
  </si>
  <si>
    <t>m_s + G_w / g_</t>
  </si>
  <si>
    <t>(V_s * y_s + V_w * y_w) / g_ * 1000</t>
  </si>
  <si>
    <t>m_s + w_ * m_s</t>
  </si>
  <si>
    <t>m_s, G_w, g_</t>
  </si>
  <si>
    <t>V_s, y_s, V_w, y_w, g_</t>
  </si>
  <si>
    <t>m_tot - G_w / g_</t>
  </si>
  <si>
    <t>n_ * S_r * y_w * V_tot * 1000</t>
  </si>
  <si>
    <t>n_, S_r, y_w, V_tot</t>
  </si>
  <si>
    <t>G_s + w_ * G_s</t>
  </si>
  <si>
    <t>y_d * V_tot * 1000 + G_w</t>
  </si>
  <si>
    <t>G_s, w_</t>
  </si>
  <si>
    <t>y_d, V_tot, G_w</t>
  </si>
  <si>
    <t>G_tot - w_ * G_s</t>
  </si>
  <si>
    <t>G_tot, w_, G_s</t>
  </si>
  <si>
    <t>y_s / y_d - 1</t>
  </si>
  <si>
    <t>m_tot, G_w, g_</t>
  </si>
  <si>
    <t>y_s, y_d</t>
  </si>
  <si>
    <t>γᵈ + (n * Sᵣ * γʷ)</t>
  </si>
  <si>
    <t>(1 - n) * γₛ</t>
  </si>
  <si>
    <t>(1 - 0.3 %) * 26.5 kN/m³ = 18.55 kN/m³</t>
  </si>
  <si>
    <t>18.55 kN/m³ + (0.3 % * 0.9 % * 10 kN/m³) = 21.25 kN/m³</t>
  </si>
  <si>
    <t>(γ - γᵈ) / γᵈ</t>
  </si>
  <si>
    <t>(21.25 kN/m³ - 18.55 kN/m³) / 18.55 kN/m³ = 0.145553 = 14.555256 %</t>
  </si>
  <si>
    <t>(γᵍ - γᵈ) / γʷ</t>
  </si>
  <si>
    <t>(21.55 kN/m³ - 18.55 kN/m³) / 10 kN/m³ = 0.3 = 30 %</t>
  </si>
  <si>
    <t>(w*γᵈ)/(n*γʷ)</t>
  </si>
  <si>
    <t>(0.145553 %*18.55 kN/m³)/(0.3 %*10 kN/m³) = 0.9 = 90 %</t>
  </si>
  <si>
    <t>γᵈ * (1 + e)</t>
  </si>
  <si>
    <t>18.55 kN/m³ * (1 + 0.428571 %) = 26.5 kN/m³</t>
  </si>
  <si>
    <t>(γᵍ - γᵈ) / n</t>
  </si>
  <si>
    <t>(21.55 kN/m³ - 18.55 kN/m³) / 0.3 % = 10 kN/m³</t>
  </si>
  <si>
    <t>26.5 / 17.11783439 - 1</t>
  </si>
  <si>
    <t>(0.001256 - 0.00081132) / 0.00081132</t>
  </si>
  <si>
    <t>0.35404399 / (1 - 0.35404399)</t>
  </si>
  <si>
    <t>0.00044468 / 0.00081132</t>
  </si>
  <si>
    <t>21.5 / 2.15</t>
  </si>
  <si>
    <t>25.37 / 2.537</t>
  </si>
  <si>
    <t>25.37 - 0.18 * 21.5</t>
  </si>
  <si>
    <t>(20.65827425 - (0.35404399 * 10)) * 0.001256 * 1000</t>
  </si>
  <si>
    <t>25.37 - ((0.00044468 - 0.00005768) * 10 * 1000)</t>
  </si>
  <si>
    <t>25.37 - (0.000387 * 10 * 1000)</t>
  </si>
  <si>
    <t>25.37 - 3.87</t>
  </si>
  <si>
    <t>2.15 * 10</t>
  </si>
  <si>
    <t>0.00081132 * 26.5 * 1000</t>
  </si>
  <si>
    <t>0.001256 * 17.11783439 * 1000</t>
  </si>
  <si>
    <t>17.11783439 * 0.001256 * 1000</t>
  </si>
  <si>
    <t>26.5 * 0.00081132 * 1000</t>
  </si>
  <si>
    <t>21.5 + 0.18 * 21.5</t>
  </si>
  <si>
    <t>17.11783439 * 0.001256 * 1000 + 3.87</t>
  </si>
  <si>
    <t>(2.15 * 10) + (0.000387 * 10 * 1000)</t>
  </si>
  <si>
    <t>(26.5 * 0.00081132 * 1000) + 3.87</t>
  </si>
  <si>
    <t>21.5 + (0.000387 * 10 * 1000)</t>
  </si>
  <si>
    <t>21.5 + 3.87</t>
  </si>
  <si>
    <t>2.537 * 10</t>
  </si>
  <si>
    <t>20.19904459 * 0.001256 * 1000</t>
  </si>
  <si>
    <t>0.35404399 * 0.87029022 * 10 * 0.001256 * 1000</t>
  </si>
  <si>
    <t>25.37 - 21.5</t>
  </si>
  <si>
    <t>0.18 * 21.5</t>
  </si>
  <si>
    <t>10 * 0.000387 * 1000</t>
  </si>
  <si>
    <t>2.537 - 3.87 / 10</t>
  </si>
  <si>
    <t>21.5 / 10</t>
  </si>
  <si>
    <t>2.537 / (1 + 0.18)</t>
  </si>
  <si>
    <t>0.00081132 * (26.5 * 1000 / 10)</t>
  </si>
  <si>
    <t>2.15 + 0.18 * 2.15</t>
  </si>
  <si>
    <t>2.15 + 3.87 / 10</t>
  </si>
  <si>
    <t>(0.00081132 * 26.5 + 0.000387 * 10) / 10 * 1000</t>
  </si>
  <si>
    <t>25.37 / 10</t>
  </si>
  <si>
    <t>2.15 * (1 + 0.18)</t>
  </si>
  <si>
    <t>0.001256 * (20.19904459 * 1000 / 10)</t>
  </si>
  <si>
    <t>(0.001256 - 0.00081132) / 0.001256</t>
  </si>
  <si>
    <t>(20.65827425 - 17.11783439) / 10</t>
  </si>
  <si>
    <t>1 - (0.00081132 / 0.001256)</t>
  </si>
  <si>
    <t>0.54809302 / (1 + 0.54809302)</t>
  </si>
  <si>
    <t>0.00044468 / (0.00081132 + 0.00044468)</t>
  </si>
  <si>
    <t>0.00044468 / 0.001256</t>
  </si>
  <si>
    <t>1-(17.11783439/26.5)</t>
  </si>
  <si>
    <t>0.000387 / (0.001256 * 0.35404399)</t>
  </si>
  <si>
    <t>0.000387 / (0.35404399 * 0.001256)</t>
  </si>
  <si>
    <t>(0.18 * 0.00081132 * 26.5) / (0.00044468 * 10)</t>
  </si>
  <si>
    <t>3.87 / (0.35404399 * 0.001256 * 10 * 1000)</t>
  </si>
  <si>
    <t>3.87 / (0.00044468 * 10 * 1000)</t>
  </si>
  <si>
    <t>0.000387 / 0.00044468</t>
  </si>
  <si>
    <t>(0.18*17.11783439)/(0.35404399*10)</t>
  </si>
  <si>
    <t>0.35404399 * 0.001256 - 0.000387</t>
  </si>
  <si>
    <t>0.00044468 - 0.000387</t>
  </si>
  <si>
    <t>0.001256 - (0.00081132 + 0.000387)</t>
  </si>
  <si>
    <t>0.54809302 * 0.00081132</t>
  </si>
  <si>
    <t>(25.37 / 1000) / 20.19904459 - 0.00081132</t>
  </si>
  <si>
    <t>0.35404399 * (0.00081132 / (1 - 0.35404399))</t>
  </si>
  <si>
    <t>0.001256 - 0.00081132</t>
  </si>
  <si>
    <t>0.001256 * 0.35404399</t>
  </si>
  <si>
    <t>0.000387 / 0.87029022</t>
  </si>
  <si>
    <t>21.5 / (26.5 * 1000)</t>
  </si>
  <si>
    <t>(21.5 / 1000) / 26.5</t>
  </si>
  <si>
    <t>0.00044468 / (0.35404399 / (1 - 0.35404399))</t>
  </si>
  <si>
    <t>0.001256 - 0.00044468</t>
  </si>
  <si>
    <t>0.001256 * (1 - 0.35404399)</t>
  </si>
  <si>
    <t>0.000387 / (0.35404399 * 0.87029022)</t>
  </si>
  <si>
    <t>(25.37 - 3.87) / (17.11783439 * 1000)</t>
  </si>
  <si>
    <t>(25.37 / 1000) / 20.19904459</t>
  </si>
  <si>
    <t>0.00044468 / 0.35404399</t>
  </si>
  <si>
    <t>0.00081132 / (1 - 0.35404399)</t>
  </si>
  <si>
    <t>0.00081132 + 0.00044468</t>
  </si>
  <si>
    <t>2.537 / 20.19904459 / 100</t>
  </si>
  <si>
    <t>0.00081132 * 0.18 * 26.5 / 10</t>
  </si>
  <si>
    <t>(25.37 - 21.5) / (10 * 1000)</t>
  </si>
  <si>
    <t>3.87 / (10 * 1000)</t>
  </si>
  <si>
    <t>0.35404399 * 0.001256 * 0.87029022</t>
  </si>
  <si>
    <t>0.00044468 * 0.87029022</t>
  </si>
  <si>
    <t>0.001256 * (0.35404399 * 0.87029022)</t>
  </si>
  <si>
    <t>0.000387 / (0.00081132 * 26.5 / 10)</t>
  </si>
  <si>
    <t>(25.37 - 21.5) / 21.5</t>
  </si>
  <si>
    <t>(20.19904459 - 17.11783439) / 17.11783439</t>
  </si>
  <si>
    <t>3.87 / 21.5</t>
  </si>
  <si>
    <t>0.87029022 * (10 / 17.11783439 - 10 / 26.5)</t>
  </si>
  <si>
    <t>0.000387 / 0.00081132 * 10 / 26.5</t>
  </si>
  <si>
    <t>17.11783439 + (0.35404399 * 0.87029022 * 10)</t>
  </si>
  <si>
    <t>20.65827425 - ((1 - 0.87029022) * 0.35404399 * 10)</t>
  </si>
  <si>
    <t>20.65827425 - (0.35404399 * (1 - 0.87029022) * 10)</t>
  </si>
  <si>
    <t>(21.5 + 3.87) / (0.001256 * 1000)</t>
  </si>
  <si>
    <t>(21.5 + 3.87) / 0.001256 / 1000</t>
  </si>
  <si>
    <t>(0.00081132 * 26.5 + 0.000387 * 10) / 0.001256</t>
  </si>
  <si>
    <t>25.37 / 0.001256 / 1000</t>
  </si>
  <si>
    <t>26.5 / (1 + 0.54809302)</t>
  </si>
  <si>
    <t>(25.37 - 3.87) / 0.001256 / 1000</t>
  </si>
  <si>
    <t>(0.00081132 * 26.5) / 0.001256</t>
  </si>
  <si>
    <t>21.5 / 0.001256 / 1000</t>
  </si>
  <si>
    <t>20.65827425 - (0.35404399 * 10)</t>
  </si>
  <si>
    <t>(1 - 0.35404399) * 26.5</t>
  </si>
  <si>
    <t>17.11783439 + (((0.001256 - 0.00081132) / 0.001256) * 10)</t>
  </si>
  <si>
    <t>17.11783439 + ((0.00044468 / 0.001256) * 10)</t>
  </si>
  <si>
    <t>17.11783439 + (0.35404399 * 10)</t>
  </si>
  <si>
    <t>17.11783439 + ( 0.35404399 * 10)</t>
  </si>
  <si>
    <t>(26.5 * (1 - 0.35404399)) + (10 * 0.35404399)</t>
  </si>
  <si>
    <t>26.5 + 0.35404399 * (10 - 26.5)</t>
  </si>
  <si>
    <t>(21.5 / 1000) / 0.00081132</t>
  </si>
  <si>
    <t>(17.11783439 * 0.001256) / 0.00081132</t>
  </si>
  <si>
    <t>(20.65827425 - (0.35404399 * 10)) / (1 - 0.35404399)</t>
  </si>
  <si>
    <t>17.11783439 * (1 + 0.54809302)</t>
  </si>
  <si>
    <t>17.11783439 * (1 + 0.35404399 / (1 - 0.35404399))</t>
  </si>
  <si>
    <t>17.11783439 / (1 - 0.35404399)</t>
  </si>
  <si>
    <t>(25.37 - 3.87) / (0.001256 * 1000 * (1 - 0.35404399))</t>
  </si>
  <si>
    <t>17.11783439 + (17.11783439 * 0.54809302)</t>
  </si>
  <si>
    <t>21.5 / (0.001256 - 0.00044468) / 1000</t>
  </si>
  <si>
    <t>(25.37 - 21.5) / 0.000387 / 1000</t>
  </si>
  <si>
    <t>(0.18 * 21.5) / 0.000387 / 1000</t>
  </si>
  <si>
    <t>3.87 / 0.000387 / 1000</t>
  </si>
  <si>
    <t>(20.65827425 - 17.11783439) / 0.35404399</t>
  </si>
  <si>
    <t>((V_s * y_s + V_w * y_w) * 1000) / m_tot</t>
  </si>
  <si>
    <t>((0.00081132 * 26.5 + 0.000387 * 10) * 1000) / 2.537</t>
  </si>
  <si>
    <t>(y_ * 1000 * V_tot) / m_tot</t>
  </si>
  <si>
    <t>(20.19904459 * 1000 * 0.001256) / 2.537</t>
  </si>
  <si>
    <t>(y_g - (G_s / (V_tot * 1000))) / n_</t>
  </si>
  <si>
    <t>(20.65827425 - (21.5 / (0.001256 * 1000))) / 0.35404399</t>
  </si>
  <si>
    <t>(G_tot - G_s) / ((V_p - V_l) * 1000)</t>
  </si>
  <si>
    <t>(25.37 - 21.5) / ((0.00044468 - 0.00005768) * 1000)</t>
  </si>
  <si>
    <t>(G_tot - (m_s * g_)) / (V_w * 1000)</t>
  </si>
  <si>
    <t>(25.37 - (2.15 * 10)) / (0.000387 * 1000)</t>
  </si>
  <si>
    <t>(G_tot - G_s) / (V_w * 1000)</t>
  </si>
  <si>
    <t>G_w / (n_ * S_r * V_tot * 1000)</t>
  </si>
  <si>
    <t>(y_ - y_d) / (n_ * S_r)</t>
  </si>
  <si>
    <t>(y_g - y_s) / n_ + y_s</t>
  </si>
  <si>
    <t>(w_ * G_s) / (V_w * 1000)</t>
  </si>
  <si>
    <t>G_w / (V_w * 1000)</t>
  </si>
  <si>
    <t>(25.37 - 21.5) / (0.000387 * 1000)</t>
  </si>
  <si>
    <t>3.87 / (0.35404399 * 0.87029022 * 0.001256 * 1000)</t>
  </si>
  <si>
    <t>(20.19904459 - 17.11783439) / (0.35404399 * 0.87029022)</t>
  </si>
  <si>
    <t>(20.65827425 - 26.5) / 0.35404399 + 26.5</t>
  </si>
  <si>
    <t>(0.18 * 21.5) / (0.000387 * 1000)</t>
  </si>
  <si>
    <t>3.87 / (0.000387 * 1000)</t>
  </si>
  <si>
    <t>G_tot / g_ - (V_w * y_w * 1000) / g_</t>
  </si>
  <si>
    <t>(m_tot - G_w / g_)</t>
  </si>
  <si>
    <t>(V_s * y_s * 1000) / g_</t>
  </si>
  <si>
    <t>G_tot / g_ - G_w / g_</t>
  </si>
  <si>
    <t>25.37 / 10 - (0.000387 * 10 * 1000) / 10</t>
  </si>
  <si>
    <t>(2.537 - 3.87 / 10)</t>
  </si>
  <si>
    <t>(0.00081132 * 26.5 * 1000) / 10</t>
  </si>
  <si>
    <t>25.37 / 10 - 3.87 / 10</t>
  </si>
  <si>
    <t>(G_tot - G_s)</t>
  </si>
  <si>
    <t>S_r * V_p * y_w * 1000</t>
  </si>
  <si>
    <t>(w_ * G_s)</t>
  </si>
  <si>
    <t>(y_ - y_d) * V_tot * 1000</t>
  </si>
  <si>
    <t>(25.37 - 21.5)</t>
  </si>
  <si>
    <t>0.87029022 * 0.00044468 * 10 * 1000</t>
  </si>
  <si>
    <t>(0.18 * 21.5)</t>
  </si>
  <si>
    <t>(20.19904459 - 17.11783439) * 0.001256 * 1000</t>
  </si>
  <si>
    <t>w_ * V_s * y_s * 1000</t>
  </si>
  <si>
    <t>0.18 * 0.00081132 * 26.5 * 1000</t>
  </si>
  <si>
    <t>G_w,n_,S_r,V_tot</t>
  </si>
  <si>
    <t>y_g,y_s,n_,y_s</t>
  </si>
  <si>
    <t>y_g,G_s,V_tot,n_</t>
  </si>
  <si>
    <t>y_,y_d,n_,S_r</t>
  </si>
  <si>
    <t>w_,G_s,V_w</t>
  </si>
  <si>
    <t>G_tot,G_s,V_w</t>
  </si>
  <si>
    <t>G_tot,G_s,V_p,V_l</t>
  </si>
  <si>
    <t>G_tot,m_s,g_,V_w</t>
  </si>
  <si>
    <t>V_s,y_s,V_w,y_w</t>
  </si>
  <si>
    <t>y_,V_tot,m_tot</t>
  </si>
  <si>
    <t>G_tot,G_s</t>
  </si>
  <si>
    <t>w_,G_s</t>
  </si>
  <si>
    <t>y_,y_d,V_tot</t>
  </si>
  <si>
    <t>S_r,V_p,y_w</t>
  </si>
  <si>
    <t>w_,V_s,y_s</t>
  </si>
  <si>
    <t>m_tot,G_w,g_</t>
  </si>
  <si>
    <t>V_s,y_s,g_</t>
  </si>
  <si>
    <t>G_tot,g_,V_w,y_w,g_</t>
  </si>
  <si>
    <t>G_tot,g_,G_w,g_</t>
  </si>
  <si>
    <t>n / (1 - n)</t>
  </si>
  <si>
    <t>0.3 % / (1 - 0.3 %) = 0.428571 = 42.857143 %</t>
  </si>
  <si>
    <t>(21.55 kN/m³ - 18.55 kN/m³) / 0.3 % = 10 m/s²</t>
  </si>
  <si>
    <t>(γₛ * (1 - n)) + (γʷ * n)</t>
  </si>
  <si>
    <t>(26.5 kN/m³ * (1 - 0.3 %)) + (10 kN/m³ * 0.3 %) = 21.55 kN/m³</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</si>
</sst>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00000"/>
  </numFmts>
  <fonts count="19" x14ac:knownFonts="1">
    <font>
      <sz val="11"/>
      <color theme="1"/>
      <name val="Calibri"/>
      <family val="2"/>
      <scheme val="minor"/>
    </font>
    <font>
      <b/>
      <sz val="11"/>
      <name val="Calibri"/>
      <family val="2"/>
    </font>
    <font>
      <sz val="11"/>
      <color rgb="FF000000"/>
      <name val="Calibri"/>
      <family val="2"/>
    </font>
    <font>
      <sz val="11"/>
      <color theme="1"/>
      <name val="Calibri"/>
      <family val="2"/>
      <scheme val="minor"/>
    </font>
    <font>
      <sz val="11"/>
      <color rgb="FF3F3F76"/>
      <name val="Calibri"/>
      <family val="2"/>
      <scheme val="minor"/>
    </font>
    <font>
      <b/>
      <sz val="11"/>
      <color theme="1"/>
      <name val="Calibri"/>
      <family val="2"/>
      <scheme val="minor"/>
    </font>
    <font>
      <sz val="11"/>
      <color rgb="FF3F3F3F"/>
      <name val="Calibri"/>
      <family val="2"/>
      <scheme val="minor"/>
    </font>
    <font>
      <u/>
      <sz val="11"/>
      <color theme="10"/>
      <name val="Calibri"/>
      <family val="2"/>
      <scheme val="minor"/>
    </font>
    <font>
      <b/>
      <sz val="11"/>
      <color rgb="FF3F3F76"/>
      <name val="Calibri"/>
      <family val="2"/>
      <scheme val="minor"/>
    </font>
    <font>
      <b/>
      <sz val="14"/>
      <color theme="0"/>
      <name val="Calibri"/>
      <family val="2"/>
    </font>
    <font>
      <u/>
      <sz val="14"/>
      <color theme="0"/>
      <name val="Calibri"/>
      <family val="2"/>
    </font>
    <font>
      <b/>
      <sz val="11"/>
      <color rgb="FF000000"/>
      <name val="Calibri"/>
      <family val="2"/>
    </font>
    <font>
      <i/>
      <u/>
      <sz val="10"/>
      <color theme="10"/>
      <name val="Calibri"/>
      <family val="2"/>
      <scheme val="minor"/>
    </font>
    <font>
      <b/>
      <sz val="11"/>
      <color rgb="FF3F3F3F"/>
      <name val="Calibri"/>
      <family val="2"/>
      <scheme val="minor"/>
    </font>
    <font>
      <sz val="8"/>
      <name val="Calibri"/>
      <family val="2"/>
      <scheme val="minor"/>
    </font>
    <font>
      <sz val="11"/>
      <color rgb="FF9C5700"/>
      <name val="Calibri"/>
      <family val="2"/>
      <scheme val="minor"/>
    </font>
    <font>
      <b/>
      <sz val="16"/>
      <color rgb="FF9C5700"/>
      <name val="Calibri"/>
      <family val="2"/>
      <scheme val="minor"/>
    </font>
    <font>
      <i/>
      <sz val="9"/>
      <color theme="1"/>
      <name val="Calibri"/>
      <family val="2"/>
      <scheme val="minor"/>
    </font>
    <font>
      <sz val="11"/>
      <color rgb="FF000000"/>
      <name val="Calibri"/>
      <family val="2"/>
      <scheme val="minor"/>
    </font>
  </fonts>
  <fills count="13">
    <fill>
      <patternFill patternType="none"/>
    </fill>
    <fill>
      <patternFill patternType="gray125"/>
    </fill>
    <fill>
      <patternFill patternType="solid">
        <fgColor rgb="FFFFCC99"/>
      </patternFill>
    </fill>
    <fill>
      <patternFill patternType="solid">
        <fgColor rgb="FFFFFFCC"/>
      </patternFill>
    </fill>
    <fill>
      <patternFill patternType="solid">
        <fgColor theme="0" tint="-0.14999847407452621"/>
        <bgColor indexed="64"/>
      </patternFill>
    </fill>
    <fill>
      <patternFill patternType="solid">
        <fgColor theme="3" tint="0.39997558519241921"/>
        <bgColor indexed="64"/>
      </patternFill>
    </fill>
    <fill>
      <patternFill patternType="solid">
        <fgColor theme="0" tint="-4.9989318521683403E-2"/>
        <bgColor indexed="64"/>
      </patternFill>
    </fill>
    <fill>
      <patternFill patternType="solid">
        <fgColor theme="3" tint="0.59999389629810485"/>
        <bgColor indexed="64"/>
      </patternFill>
    </fill>
    <fill>
      <patternFill patternType="solid">
        <fgColor rgb="FFE5E5B7"/>
        <bgColor indexed="64"/>
      </patternFill>
    </fill>
    <fill>
      <patternFill patternType="solid">
        <fgColor rgb="FFFFCC99"/>
        <bgColor indexed="64"/>
      </patternFill>
    </fill>
    <fill>
      <patternFill patternType="solid">
        <fgColor rgb="FFE5B789"/>
        <bgColor indexed="64"/>
      </patternFill>
    </fill>
    <fill>
      <patternFill patternType="solid">
        <fgColor rgb="FFF2F2F2"/>
      </patternFill>
    </fill>
    <fill>
      <patternFill patternType="solid">
        <fgColor rgb="FFFFEB9C"/>
      </patternFill>
    </fill>
  </fills>
  <borders count="56">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thin">
        <color indexed="64"/>
      </right>
      <top/>
      <bottom/>
      <diagonal/>
    </border>
    <border>
      <left/>
      <right style="medium">
        <color indexed="64"/>
      </right>
      <top style="medium">
        <color indexed="64"/>
      </top>
      <bottom/>
      <diagonal/>
    </border>
    <border>
      <left/>
      <right style="medium">
        <color indexed="64"/>
      </right>
      <top/>
      <bottom style="medium">
        <color indexed="64"/>
      </bottom>
      <diagonal/>
    </border>
    <border>
      <left/>
      <right style="thin">
        <color rgb="FF7F7F7F"/>
      </right>
      <top style="thin">
        <color rgb="FF7F7F7F"/>
      </top>
      <bottom style="thin">
        <color rgb="FF7F7F7F"/>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indexed="64"/>
      </bottom>
      <diagonal/>
    </border>
    <border>
      <left/>
      <right style="thin">
        <color rgb="FF7F7F7F"/>
      </right>
      <top style="thin">
        <color rgb="FF7F7F7F"/>
      </top>
      <bottom style="thin">
        <color indexed="64"/>
      </bottom>
      <diagonal/>
    </border>
    <border>
      <left style="thin">
        <color indexed="64"/>
      </left>
      <right style="thin">
        <color indexed="64"/>
      </right>
      <top style="medium">
        <color indexed="64"/>
      </top>
      <bottom/>
      <diagonal/>
    </border>
    <border>
      <left style="thin">
        <color rgb="FFB2B2B2"/>
      </left>
      <right style="thin">
        <color rgb="FFB2B2B2"/>
      </right>
      <top style="medium">
        <color indexed="64"/>
      </top>
      <bottom style="thin">
        <color rgb="FFB2B2B2"/>
      </bottom>
      <diagonal/>
    </border>
    <border>
      <left style="thin">
        <color rgb="FFB2B2B2"/>
      </left>
      <right style="medium">
        <color indexed="64"/>
      </right>
      <top style="medium">
        <color indexed="64"/>
      </top>
      <bottom style="thin">
        <color rgb="FFB2B2B2"/>
      </bottom>
      <diagonal/>
    </border>
    <border>
      <left style="medium">
        <color indexed="64"/>
      </left>
      <right/>
      <top/>
      <bottom/>
      <diagonal/>
    </border>
    <border>
      <left style="thin">
        <color rgb="FFB2B2B2"/>
      </left>
      <right style="medium">
        <color indexed="64"/>
      </right>
      <top style="thin">
        <color rgb="FFB2B2B2"/>
      </top>
      <bottom style="thin">
        <color rgb="FFB2B2B2"/>
      </bottom>
      <diagonal/>
    </border>
    <border>
      <left style="medium">
        <color indexed="64"/>
      </left>
      <right/>
      <top style="thin">
        <color indexed="64"/>
      </top>
      <bottom/>
      <diagonal/>
    </border>
    <border>
      <left style="medium">
        <color indexed="64"/>
      </left>
      <right/>
      <top/>
      <bottom style="thin">
        <color indexed="64"/>
      </bottom>
      <diagonal/>
    </border>
    <border>
      <left style="thin">
        <color indexed="64"/>
      </left>
      <right style="thin">
        <color indexed="64"/>
      </right>
      <top/>
      <bottom style="medium">
        <color indexed="64"/>
      </bottom>
      <diagonal/>
    </border>
    <border>
      <left/>
      <right style="thin">
        <color rgb="FF7F7F7F"/>
      </right>
      <top style="thin">
        <color rgb="FF7F7F7F"/>
      </top>
      <bottom style="medium">
        <color indexed="64"/>
      </bottom>
      <diagonal/>
    </border>
    <border>
      <left style="thin">
        <color rgb="FFB2B2B2"/>
      </left>
      <right style="thin">
        <color rgb="FFB2B2B2"/>
      </right>
      <top style="thin">
        <color rgb="FFB2B2B2"/>
      </top>
      <bottom style="medium">
        <color indexed="64"/>
      </bottom>
      <diagonal/>
    </border>
    <border>
      <left style="thin">
        <color rgb="FFB2B2B2"/>
      </left>
      <right style="medium">
        <color indexed="64"/>
      </right>
      <top style="thin">
        <color rgb="FFB2B2B2"/>
      </top>
      <bottom style="medium">
        <color indexed="64"/>
      </bottom>
      <diagonal/>
    </border>
    <border>
      <left/>
      <right style="thin">
        <color rgb="FF7F7F7F"/>
      </right>
      <top style="medium">
        <color indexed="64"/>
      </top>
      <bottom style="thin">
        <color rgb="FF7F7F7F"/>
      </bottom>
      <diagonal/>
    </border>
    <border>
      <left/>
      <right style="thin">
        <color indexed="64"/>
      </right>
      <top style="medium">
        <color indexed="64"/>
      </top>
      <bottom/>
      <diagonal/>
    </border>
    <border>
      <left/>
      <right style="thin">
        <color rgb="FF7F7F7F"/>
      </right>
      <top style="thin">
        <color indexed="64"/>
      </top>
      <bottom style="thin">
        <color rgb="FF7F7F7F"/>
      </bottom>
      <diagonal/>
    </border>
    <border>
      <left style="thin">
        <color rgb="FFB2B2B2"/>
      </left>
      <right style="thin">
        <color rgb="FFB2B2B2"/>
      </right>
      <top style="thin">
        <color indexed="64"/>
      </top>
      <bottom style="thin">
        <color rgb="FFB2B2B2"/>
      </bottom>
      <diagonal/>
    </border>
    <border>
      <left style="thin">
        <color rgb="FFB2B2B2"/>
      </left>
      <right style="medium">
        <color indexed="64"/>
      </right>
      <top style="thin">
        <color rgb="FFB2B2B2"/>
      </top>
      <bottom style="thin">
        <color indexed="64"/>
      </bottom>
      <diagonal/>
    </border>
    <border>
      <left style="thin">
        <color rgb="FFB2B2B2"/>
      </left>
      <right style="medium">
        <color indexed="64"/>
      </right>
      <top style="thin">
        <color indexed="64"/>
      </top>
      <bottom style="thin">
        <color rgb="FFB2B2B2"/>
      </bottom>
      <diagonal/>
    </border>
    <border>
      <left style="thin">
        <color rgb="FF3F3F3F"/>
      </left>
      <right style="thin">
        <color rgb="FF3F3F3F"/>
      </right>
      <top style="thin">
        <color rgb="FF3F3F3F"/>
      </top>
      <bottom style="thin">
        <color rgb="FF3F3F3F"/>
      </bottom>
      <diagonal/>
    </border>
    <border>
      <left/>
      <right style="medium">
        <color indexed="64"/>
      </right>
      <top/>
      <bottom/>
      <diagonal/>
    </border>
    <border>
      <left/>
      <right style="thin">
        <color indexed="64"/>
      </right>
      <top/>
      <bottom style="medium">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style="thin">
        <color rgb="FF7F7F7F"/>
      </bottom>
      <diagonal/>
    </border>
    <border>
      <left/>
      <right style="medium">
        <color indexed="64"/>
      </right>
      <top style="medium">
        <color indexed="64"/>
      </top>
      <bottom style="thin">
        <color rgb="FF7F7F7F"/>
      </bottom>
      <diagonal/>
    </border>
    <border>
      <left style="medium">
        <color indexed="64"/>
      </left>
      <right/>
      <top style="thin">
        <color rgb="FF7F7F7F"/>
      </top>
      <bottom style="medium">
        <color indexed="64"/>
      </bottom>
      <diagonal/>
    </border>
    <border>
      <left/>
      <right style="medium">
        <color indexed="64"/>
      </right>
      <top style="thin">
        <color rgb="FF7F7F7F"/>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thin">
        <color indexed="64"/>
      </bottom>
      <diagonal/>
    </border>
    <border>
      <left/>
      <right style="medium">
        <color indexed="64"/>
      </right>
      <top style="thin">
        <color indexed="64"/>
      </top>
      <bottom/>
      <diagonal/>
    </border>
    <border>
      <left/>
      <right/>
      <top/>
      <bottom style="thin">
        <color rgb="FF7F7F7F"/>
      </bottom>
      <diagonal/>
    </border>
    <border>
      <left/>
      <right/>
      <top style="thin">
        <color rgb="FF7F7F7F"/>
      </top>
      <bottom style="thin">
        <color rgb="FF7F7F7F"/>
      </bottom>
      <diagonal/>
    </border>
    <border>
      <left/>
      <right/>
      <top style="thin">
        <color rgb="FF7F7F7F"/>
      </top>
      <bottom style="thin">
        <color indexed="64"/>
      </bottom>
      <diagonal/>
    </border>
    <border>
      <left/>
      <right/>
      <top style="thin">
        <color indexed="64"/>
      </top>
      <bottom style="thin">
        <color rgb="FF7F7F7F"/>
      </bottom>
      <diagonal/>
    </border>
    <border>
      <left/>
      <right/>
      <top style="thin">
        <color rgb="FF7F7F7F"/>
      </top>
      <bottom style="medium">
        <color indexed="64"/>
      </bottom>
      <diagonal/>
    </border>
  </borders>
  <cellStyleXfs count="6">
    <xf numFmtId="0" fontId="0" fillId="0" borderId="0"/>
    <xf numFmtId="0" fontId="4" fillId="2" borderId="1" applyNumberFormat="0" applyAlignment="0" applyProtection="0"/>
    <xf numFmtId="0" fontId="3" fillId="3" borderId="2" applyNumberFormat="0" applyFont="0" applyAlignment="0" applyProtection="0"/>
    <xf numFmtId="0" fontId="7" fillId="0" borderId="0" applyNumberFormat="0" applyFill="0" applyBorder="0" applyAlignment="0" applyProtection="0"/>
    <xf numFmtId="0" fontId="13" fillId="11" borderId="38" applyNumberFormat="0" applyAlignment="0" applyProtection="0"/>
    <xf numFmtId="0" fontId="15" fillId="12" borderId="0" applyNumberFormat="0" applyBorder="0" applyAlignment="0" applyProtection="0"/>
  </cellStyleXfs>
  <cellXfs count="152">
    <xf numFmtId="0" fontId="0" fillId="0" borderId="0" xfId="0"/>
    <xf numFmtId="0" fontId="1" fillId="4" borderId="3" xfId="0" applyFont="1" applyFill="1" applyBorder="1" applyAlignment="1">
      <alignment horizontal="center" vertical="center"/>
    </xf>
    <xf numFmtId="0" fontId="0" fillId="0" borderId="6" xfId="0" applyBorder="1"/>
    <xf numFmtId="0" fontId="0" fillId="0" borderId="10" xfId="0" applyBorder="1"/>
    <xf numFmtId="0" fontId="9" fillId="5" borderId="4" xfId="0" applyFont="1" applyFill="1" applyBorder="1"/>
    <xf numFmtId="0" fontId="10" fillId="5" borderId="5" xfId="3" applyFont="1" applyFill="1" applyBorder="1" applyAlignment="1" applyProtection="1">
      <alignment horizontal="right"/>
    </xf>
    <xf numFmtId="0" fontId="9" fillId="5" borderId="4" xfId="0" applyFont="1" applyFill="1" applyBorder="1" applyAlignment="1">
      <alignment horizontal="center"/>
    </xf>
    <xf numFmtId="0" fontId="9" fillId="5" borderId="3" xfId="0" applyFont="1" applyFill="1" applyBorder="1" applyAlignment="1">
      <alignment horizontal="left"/>
    </xf>
    <xf numFmtId="0" fontId="8" fillId="2" borderId="13" xfId="1" applyNumberFormat="1" applyFont="1" applyBorder="1" applyProtection="1">
      <protection locked="0"/>
    </xf>
    <xf numFmtId="0" fontId="0" fillId="0" borderId="14" xfId="0" applyBorder="1"/>
    <xf numFmtId="0" fontId="0" fillId="0" borderId="15" xfId="0" applyBorder="1"/>
    <xf numFmtId="0" fontId="0" fillId="0" borderId="16" xfId="0" applyBorder="1"/>
    <xf numFmtId="0" fontId="0" fillId="0" borderId="17" xfId="0" applyBorder="1"/>
    <xf numFmtId="0" fontId="0" fillId="0" borderId="18" xfId="0" applyBorder="1"/>
    <xf numFmtId="0" fontId="8" fillId="2" borderId="20" xfId="1" applyNumberFormat="1" applyFont="1" applyBorder="1" applyProtection="1">
      <protection locked="0"/>
    </xf>
    <xf numFmtId="0" fontId="0" fillId="0" borderId="21" xfId="0" applyBorder="1"/>
    <xf numFmtId="0" fontId="6" fillId="3" borderId="22" xfId="2" applyFont="1" applyBorder="1" applyAlignment="1" applyProtection="1">
      <alignment horizontal="left" vertical="center"/>
    </xf>
    <xf numFmtId="0" fontId="6" fillId="3" borderId="23" xfId="2" applyFont="1" applyBorder="1" applyProtection="1"/>
    <xf numFmtId="0" fontId="0" fillId="0" borderId="24" xfId="0" applyBorder="1"/>
    <xf numFmtId="0" fontId="6" fillId="3" borderId="25" xfId="2" applyFont="1" applyBorder="1" applyProtection="1"/>
    <xf numFmtId="0" fontId="0" fillId="0" borderId="26" xfId="0" applyBorder="1"/>
    <xf numFmtId="0" fontId="0" fillId="0" borderId="27" xfId="0" applyBorder="1"/>
    <xf numFmtId="0" fontId="0" fillId="6" borderId="24" xfId="0" applyFill="1" applyBorder="1"/>
    <xf numFmtId="0" fontId="0" fillId="6" borderId="10" xfId="0" applyFill="1" applyBorder="1"/>
    <xf numFmtId="0" fontId="0" fillId="6" borderId="26" xfId="0" applyFill="1" applyBorder="1"/>
    <xf numFmtId="0" fontId="0" fillId="6" borderId="14" xfId="0" applyFill="1" applyBorder="1"/>
    <xf numFmtId="0" fontId="0" fillId="6" borderId="15" xfId="0" applyFill="1" applyBorder="1"/>
    <xf numFmtId="0" fontId="0" fillId="6" borderId="16" xfId="0" applyFill="1" applyBorder="1"/>
    <xf numFmtId="0" fontId="0" fillId="6" borderId="27" xfId="0" applyFill="1" applyBorder="1"/>
    <xf numFmtId="0" fontId="0" fillId="6" borderId="17" xfId="0" applyFill="1" applyBorder="1"/>
    <xf numFmtId="0" fontId="0" fillId="6" borderId="18" xfId="0" applyFill="1" applyBorder="1"/>
    <xf numFmtId="0" fontId="6" fillId="8" borderId="25" xfId="2" applyFont="1" applyFill="1" applyBorder="1" applyAlignment="1" applyProtection="1">
      <alignment horizontal="left" vertical="center"/>
    </xf>
    <xf numFmtId="0" fontId="8" fillId="9" borderId="32" xfId="1" applyNumberFormat="1" applyFont="1" applyFill="1" applyBorder="1" applyProtection="1">
      <protection locked="0"/>
    </xf>
    <xf numFmtId="0" fontId="8" fillId="10" borderId="13" xfId="1" applyNumberFormat="1" applyFont="1" applyFill="1" applyBorder="1" applyProtection="1">
      <protection locked="0"/>
    </xf>
    <xf numFmtId="0" fontId="1" fillId="4" borderId="7" xfId="0" applyFont="1" applyFill="1" applyBorder="1" applyAlignment="1">
      <alignment horizontal="center" vertical="center"/>
    </xf>
    <xf numFmtId="0" fontId="5" fillId="4" borderId="11" xfId="0" applyFont="1" applyFill="1" applyBorder="1" applyAlignment="1">
      <alignment horizontal="center"/>
    </xf>
    <xf numFmtId="0" fontId="0" fillId="0" borderId="33" xfId="0" applyBorder="1"/>
    <xf numFmtId="0" fontId="6" fillId="3" borderId="35" xfId="2" applyFont="1" applyBorder="1" applyAlignment="1" applyProtection="1">
      <alignment horizontal="left" vertical="center"/>
    </xf>
    <xf numFmtId="0" fontId="6" fillId="3" borderId="19" xfId="2" applyFont="1" applyBorder="1" applyAlignment="1" applyProtection="1">
      <alignment horizontal="left" vertical="center"/>
    </xf>
    <xf numFmtId="0" fontId="8" fillId="10" borderId="34" xfId="1" applyNumberFormat="1" applyFont="1" applyFill="1" applyBorder="1" applyProtection="1">
      <protection locked="0"/>
    </xf>
    <xf numFmtId="0" fontId="6" fillId="8" borderId="35" xfId="2" applyFont="1" applyFill="1" applyBorder="1" applyAlignment="1" applyProtection="1">
      <alignment horizontal="left" vertical="center"/>
    </xf>
    <xf numFmtId="0" fontId="8" fillId="10" borderId="20" xfId="1" applyNumberFormat="1" applyFont="1" applyFill="1" applyBorder="1" applyProtection="1">
      <protection locked="0"/>
    </xf>
    <xf numFmtId="0" fontId="6" fillId="8" borderId="19" xfId="2" applyFont="1" applyFill="1" applyBorder="1" applyAlignment="1" applyProtection="1">
      <alignment horizontal="left" vertical="center"/>
    </xf>
    <xf numFmtId="0" fontId="8" fillId="2" borderId="34" xfId="1" applyNumberFormat="1" applyFont="1" applyBorder="1" applyProtection="1">
      <protection locked="0"/>
    </xf>
    <xf numFmtId="0" fontId="6" fillId="3" borderId="36" xfId="2" applyFont="1" applyBorder="1" applyProtection="1"/>
    <xf numFmtId="0" fontId="6" fillId="8" borderId="37" xfId="2" applyFont="1" applyFill="1" applyBorder="1" applyAlignment="1" applyProtection="1">
      <alignment horizontal="left" vertical="center"/>
    </xf>
    <xf numFmtId="0" fontId="6" fillId="8" borderId="36" xfId="2" applyFont="1" applyFill="1" applyBorder="1" applyAlignment="1" applyProtection="1">
      <alignment horizontal="left" vertical="center"/>
    </xf>
    <xf numFmtId="0" fontId="6" fillId="3" borderId="37" xfId="2" applyFont="1" applyBorder="1" applyProtection="1"/>
    <xf numFmtId="0" fontId="12" fillId="0" borderId="0" xfId="3" applyFont="1"/>
    <xf numFmtId="0" fontId="6" fillId="3" borderId="25" xfId="2" applyFont="1" applyBorder="1" applyAlignment="1" applyProtection="1">
      <alignment horizontal="left"/>
    </xf>
    <xf numFmtId="0" fontId="0" fillId="6" borderId="28" xfId="0" applyFill="1" applyBorder="1"/>
    <xf numFmtId="0" fontId="8" fillId="10" borderId="29" xfId="1" applyNumberFormat="1" applyFont="1" applyFill="1" applyBorder="1" applyProtection="1">
      <protection locked="0"/>
    </xf>
    <xf numFmtId="0" fontId="6" fillId="8" borderId="30" xfId="2" applyFont="1" applyFill="1" applyBorder="1" applyAlignment="1" applyProtection="1">
      <alignment horizontal="left" vertical="center"/>
    </xf>
    <xf numFmtId="0" fontId="6" fillId="8" borderId="31" xfId="2" applyFont="1" applyFill="1" applyBorder="1" applyAlignment="1" applyProtection="1">
      <alignment horizontal="left" vertical="center"/>
    </xf>
    <xf numFmtId="0" fontId="0" fillId="0" borderId="11" xfId="0" applyBorder="1" applyAlignment="1" applyProtection="1">
      <alignment vertical="center"/>
      <protection locked="0"/>
    </xf>
    <xf numFmtId="0" fontId="0" fillId="0" borderId="12" xfId="0" applyBorder="1" applyAlignment="1" applyProtection="1">
      <alignment vertical="center"/>
      <protection locked="0"/>
    </xf>
    <xf numFmtId="0" fontId="0" fillId="6" borderId="0" xfId="0" applyFill="1"/>
    <xf numFmtId="0" fontId="0" fillId="6" borderId="9" xfId="0" applyFill="1" applyBorder="1"/>
    <xf numFmtId="0" fontId="6" fillId="8" borderId="2" xfId="2" applyFont="1" applyFill="1" applyAlignment="1" applyProtection="1">
      <alignment horizontal="left" vertical="center"/>
    </xf>
    <xf numFmtId="0" fontId="6" fillId="3" borderId="2" xfId="2" applyFont="1" applyAlignment="1" applyProtection="1">
      <alignment horizontal="left" vertical="center"/>
    </xf>
    <xf numFmtId="0" fontId="6" fillId="3" borderId="2" xfId="2" applyFont="1" applyAlignment="1" applyProtection="1">
      <alignment horizontal="left"/>
    </xf>
    <xf numFmtId="0" fontId="0" fillId="6" borderId="8" xfId="0" applyFill="1" applyBorder="1"/>
    <xf numFmtId="0" fontId="0" fillId="0" borderId="7" xfId="0" applyBorder="1"/>
    <xf numFmtId="0" fontId="0" fillId="0" borderId="41" xfId="0" applyBorder="1"/>
    <xf numFmtId="0" fontId="0" fillId="6" borderId="42" xfId="0" applyFill="1" applyBorder="1"/>
    <xf numFmtId="0" fontId="0" fillId="6" borderId="41" xfId="0" applyFill="1" applyBorder="1"/>
    <xf numFmtId="0" fontId="0" fillId="0" borderId="42" xfId="0" applyBorder="1"/>
    <xf numFmtId="0" fontId="5" fillId="0" borderId="27" xfId="0" applyFont="1" applyBorder="1"/>
    <xf numFmtId="0" fontId="5" fillId="0" borderId="41" xfId="0" applyFont="1" applyBorder="1"/>
    <xf numFmtId="0" fontId="5" fillId="0" borderId="17" xfId="0" applyFont="1" applyBorder="1"/>
    <xf numFmtId="0" fontId="5" fillId="0" borderId="18" xfId="0" applyFont="1" applyBorder="1"/>
    <xf numFmtId="0" fontId="5" fillId="6" borderId="27" xfId="0" applyFont="1" applyFill="1" applyBorder="1"/>
    <xf numFmtId="0" fontId="5" fillId="6" borderId="41" xfId="0" applyFont="1" applyFill="1" applyBorder="1"/>
    <xf numFmtId="0" fontId="5" fillId="6" borderId="17" xfId="0" applyFont="1" applyFill="1" applyBorder="1"/>
    <xf numFmtId="0" fontId="5" fillId="6" borderId="18" xfId="0" applyFont="1" applyFill="1" applyBorder="1"/>
    <xf numFmtId="0" fontId="0" fillId="7" borderId="6" xfId="0" applyFill="1" applyBorder="1"/>
    <xf numFmtId="0" fontId="0" fillId="7" borderId="11" xfId="0" applyFill="1" applyBorder="1"/>
    <xf numFmtId="0" fontId="0" fillId="7" borderId="8" xfId="0" applyFill="1" applyBorder="1"/>
    <xf numFmtId="0" fontId="0" fillId="7" borderId="12" xfId="0" applyFill="1" applyBorder="1"/>
    <xf numFmtId="0" fontId="1" fillId="4" borderId="3" xfId="0" applyFont="1" applyFill="1" applyBorder="1" applyAlignment="1">
      <alignment vertical="center"/>
    </xf>
    <xf numFmtId="0" fontId="1" fillId="4" borderId="4" xfId="0" applyFont="1" applyFill="1" applyBorder="1" applyAlignment="1">
      <alignment vertical="center"/>
    </xf>
    <xf numFmtId="0" fontId="0" fillId="7" borderId="24" xfId="0" applyFill="1" applyBorder="1"/>
    <xf numFmtId="0" fontId="0" fillId="7" borderId="39" xfId="0" applyFill="1" applyBorder="1"/>
    <xf numFmtId="0" fontId="5" fillId="4" borderId="5" xfId="0" applyFont="1" applyFill="1" applyBorder="1"/>
    <xf numFmtId="0" fontId="5" fillId="0" borderId="0" xfId="0" applyFont="1"/>
    <xf numFmtId="0" fontId="17" fillId="0" borderId="15" xfId="0" applyFont="1" applyBorder="1"/>
    <xf numFmtId="0" fontId="17" fillId="6" borderId="16" xfId="0" applyFont="1" applyFill="1" applyBorder="1"/>
    <xf numFmtId="0" fontId="17" fillId="0" borderId="16" xfId="0" applyFont="1" applyBorder="1"/>
    <xf numFmtId="0" fontId="17" fillId="6" borderId="40" xfId="0" applyFont="1" applyFill="1" applyBorder="1"/>
    <xf numFmtId="0" fontId="0" fillId="0" borderId="0" xfId="0" applyProtection="1">
      <protection locked="0"/>
    </xf>
    <xf numFmtId="0" fontId="3" fillId="0" borderId="0" xfId="0" applyFont="1" applyProtection="1">
      <protection locked="0"/>
    </xf>
    <xf numFmtId="164" fontId="8" fillId="9" borderId="51" xfId="1" applyNumberFormat="1" applyFont="1" applyFill="1" applyBorder="1" applyProtection="1">
      <protection locked="0"/>
    </xf>
    <xf numFmtId="164" fontId="8" fillId="10" borderId="52" xfId="1" applyNumberFormat="1" applyFont="1" applyFill="1" applyBorder="1" applyProtection="1">
      <protection locked="0"/>
    </xf>
    <xf numFmtId="164" fontId="8" fillId="2" borderId="53" xfId="1" applyNumberFormat="1" applyFont="1" applyBorder="1" applyProtection="1">
      <protection locked="0"/>
    </xf>
    <xf numFmtId="164" fontId="8" fillId="10" borderId="54" xfId="1" applyNumberFormat="1" applyFont="1" applyFill="1" applyBorder="1" applyProtection="1">
      <protection locked="0"/>
    </xf>
    <xf numFmtId="164" fontId="8" fillId="2" borderId="52" xfId="1" applyNumberFormat="1" applyFont="1" applyBorder="1" applyProtection="1">
      <protection locked="0"/>
    </xf>
    <xf numFmtId="164" fontId="8" fillId="10" borderId="53" xfId="1" applyNumberFormat="1" applyFont="1" applyFill="1" applyBorder="1" applyProtection="1">
      <protection locked="0"/>
    </xf>
    <xf numFmtId="164" fontId="8" fillId="2" borderId="54" xfId="1" applyNumberFormat="1" applyFont="1" applyBorder="1" applyProtection="1">
      <protection locked="0"/>
    </xf>
    <xf numFmtId="164" fontId="8" fillId="10" borderId="55" xfId="1" applyNumberFormat="1" applyFont="1" applyFill="1" applyBorder="1" applyProtection="1">
      <protection locked="0"/>
    </xf>
    <xf numFmtId="164" fontId="3" fillId="0" borderId="0" xfId="0" applyNumberFormat="1" applyFont="1" applyAlignment="1" applyProtection="1">
      <alignment horizontal="right"/>
      <protection locked="0"/>
    </xf>
    <xf numFmtId="0" fontId="18" fillId="0" borderId="0" xfId="0" applyFont="1" applyProtection="1">
      <protection locked="0"/>
    </xf>
    <xf numFmtId="0" fontId="3" fillId="0" borderId="0" xfId="0" applyFont="1"/>
    <xf numFmtId="164" fontId="3" fillId="0" borderId="0" xfId="0" applyNumberFormat="1" applyFont="1" applyAlignment="1">
      <alignment horizontal="right"/>
    </xf>
    <xf numFmtId="0" fontId="5" fillId="4" borderId="3" xfId="0" applyFont="1" applyFill="1" applyBorder="1"/>
    <xf numFmtId="0" fontId="5" fillId="4" borderId="4" xfId="0" applyFont="1" applyFill="1" applyBorder="1"/>
    <xf numFmtId="0" fontId="3" fillId="0" borderId="24" xfId="0" applyFont="1" applyBorder="1"/>
    <xf numFmtId="0" fontId="3" fillId="0" borderId="39" xfId="0" applyFont="1" applyBorder="1"/>
    <xf numFmtId="0" fontId="3" fillId="6" borderId="24" xfId="0" applyFont="1" applyFill="1" applyBorder="1"/>
    <xf numFmtId="0" fontId="3" fillId="6" borderId="39" xfId="0" applyFont="1" applyFill="1" applyBorder="1"/>
    <xf numFmtId="0" fontId="3" fillId="0" borderId="27" xfId="0" applyFont="1" applyBorder="1"/>
    <xf numFmtId="0" fontId="3" fillId="0" borderId="49" xfId="0" applyFont="1" applyBorder="1"/>
    <xf numFmtId="0" fontId="3" fillId="6" borderId="26" xfId="0" applyFont="1" applyFill="1" applyBorder="1"/>
    <xf numFmtId="0" fontId="3" fillId="6" borderId="50" xfId="0" applyFont="1" applyFill="1" applyBorder="1"/>
    <xf numFmtId="0" fontId="3" fillId="6" borderId="27" xfId="0" applyFont="1" applyFill="1" applyBorder="1"/>
    <xf numFmtId="0" fontId="3" fillId="6" borderId="49" xfId="0" applyFont="1" applyFill="1" applyBorder="1"/>
    <xf numFmtId="0" fontId="3" fillId="0" borderId="26" xfId="0" applyFont="1" applyBorder="1"/>
    <xf numFmtId="0" fontId="3" fillId="0" borderId="50" xfId="0" applyFont="1" applyBorder="1"/>
    <xf numFmtId="0" fontId="5" fillId="0" borderId="49" xfId="0" applyFont="1" applyBorder="1"/>
    <xf numFmtId="0" fontId="5" fillId="6" borderId="49" xfId="0" applyFont="1" applyFill="1" applyBorder="1"/>
    <xf numFmtId="0" fontId="3" fillId="6" borderId="8" xfId="0" applyFont="1" applyFill="1" applyBorder="1"/>
    <xf numFmtId="0" fontId="3" fillId="6" borderId="12" xfId="0" applyFont="1" applyFill="1" applyBorder="1"/>
    <xf numFmtId="0" fontId="6" fillId="3" borderId="47" xfId="2" applyFont="1" applyBorder="1" applyAlignment="1" applyProtection="1">
      <alignment horizontal="center" vertical="center"/>
      <protection locked="0"/>
    </xf>
    <xf numFmtId="0" fontId="6" fillId="3" borderId="48" xfId="2" applyFont="1" applyBorder="1" applyAlignment="1" applyProtection="1">
      <alignment horizontal="center" vertical="center"/>
      <protection locked="0"/>
    </xf>
    <xf numFmtId="0" fontId="8" fillId="2" borderId="43" xfId="1" applyNumberFormat="1" applyFont="1" applyBorder="1" applyAlignment="1" applyProtection="1">
      <alignment horizontal="center" vertical="center"/>
      <protection locked="0"/>
    </xf>
    <xf numFmtId="0" fontId="8" fillId="2" borderId="44" xfId="1" applyNumberFormat="1" applyFont="1" applyBorder="1" applyAlignment="1" applyProtection="1">
      <alignment horizontal="center" vertical="center"/>
      <protection locked="0"/>
    </xf>
    <xf numFmtId="0" fontId="13" fillId="11" borderId="45" xfId="4" applyNumberFormat="1" applyBorder="1" applyAlignment="1" applyProtection="1">
      <alignment horizontal="center" vertical="center"/>
      <protection locked="0"/>
    </xf>
    <xf numFmtId="0" fontId="13" fillId="11" borderId="46" xfId="4" applyNumberFormat="1" applyBorder="1" applyAlignment="1" applyProtection="1">
      <alignment horizontal="center" vertical="center"/>
      <protection locked="0"/>
    </xf>
    <xf numFmtId="0" fontId="5" fillId="2" borderId="3" xfId="1" applyFont="1" applyBorder="1" applyAlignment="1" applyProtection="1">
      <alignment horizontal="center"/>
      <protection locked="0"/>
    </xf>
    <xf numFmtId="0" fontId="5" fillId="2" borderId="5" xfId="1" applyFont="1" applyBorder="1" applyAlignment="1" applyProtection="1">
      <alignment horizontal="center"/>
      <protection locked="0"/>
    </xf>
    <xf numFmtId="0" fontId="5" fillId="4" borderId="3" xfId="0" applyFont="1" applyFill="1" applyBorder="1" applyAlignment="1">
      <alignment horizontal="center"/>
    </xf>
    <xf numFmtId="0" fontId="5" fillId="4" borderId="5" xfId="0" applyFont="1" applyFill="1" applyBorder="1" applyAlignment="1">
      <alignment horizontal="center"/>
    </xf>
    <xf numFmtId="0" fontId="16" fillId="12" borderId="6" xfId="5" applyFont="1" applyBorder="1" applyAlignment="1" applyProtection="1">
      <alignment horizontal="left" vertical="top" wrapText="1"/>
    </xf>
    <xf numFmtId="0" fontId="16" fillId="12" borderId="7" xfId="5" applyFont="1" applyBorder="1" applyAlignment="1" applyProtection="1">
      <alignment horizontal="left" vertical="top" wrapText="1"/>
    </xf>
    <xf numFmtId="0" fontId="16" fillId="12" borderId="24" xfId="5" applyFont="1" applyBorder="1" applyAlignment="1" applyProtection="1">
      <alignment horizontal="left" vertical="top" wrapText="1"/>
    </xf>
    <xf numFmtId="0" fontId="16" fillId="12" borderId="0" xfId="5" applyFont="1" applyBorder="1" applyAlignment="1" applyProtection="1">
      <alignment horizontal="left" vertical="top" wrapText="1"/>
    </xf>
    <xf numFmtId="0" fontId="16" fillId="12" borderId="8" xfId="5" applyFont="1" applyBorder="1" applyAlignment="1" applyProtection="1">
      <alignment horizontal="left" vertical="top" wrapText="1"/>
    </xf>
    <xf numFmtId="0" fontId="16" fillId="12" borderId="9" xfId="5" applyFont="1" applyBorder="1" applyAlignment="1" applyProtection="1">
      <alignment horizontal="left" vertical="top" wrapText="1"/>
    </xf>
    <xf numFmtId="0" fontId="15" fillId="12" borderId="6" xfId="5" applyBorder="1" applyAlignment="1" applyProtection="1">
      <alignment horizontal="left" vertical="top" wrapText="1"/>
    </xf>
    <xf numFmtId="0" fontId="15" fillId="12" borderId="7" xfId="5" applyBorder="1" applyAlignment="1" applyProtection="1">
      <alignment horizontal="left" vertical="top" wrapText="1"/>
    </xf>
    <xf numFmtId="0" fontId="15" fillId="12" borderId="11" xfId="5" applyBorder="1" applyAlignment="1" applyProtection="1">
      <alignment horizontal="left" vertical="top" wrapText="1"/>
    </xf>
    <xf numFmtId="0" fontId="15" fillId="12" borderId="24" xfId="5" applyBorder="1" applyAlignment="1" applyProtection="1">
      <alignment horizontal="left" vertical="top" wrapText="1"/>
    </xf>
    <xf numFmtId="0" fontId="15" fillId="12" borderId="0" xfId="5" applyBorder="1" applyAlignment="1" applyProtection="1">
      <alignment horizontal="left" vertical="top" wrapText="1"/>
    </xf>
    <xf numFmtId="0" fontId="15" fillId="12" borderId="39" xfId="5" applyBorder="1" applyAlignment="1" applyProtection="1">
      <alignment horizontal="left" vertical="top" wrapText="1"/>
    </xf>
    <xf numFmtId="0" fontId="15" fillId="12" borderId="8" xfId="5" applyBorder="1" applyAlignment="1" applyProtection="1">
      <alignment horizontal="left" vertical="top" wrapText="1"/>
    </xf>
    <xf numFmtId="0" fontId="15" fillId="12" borderId="9" xfId="5" applyBorder="1" applyAlignment="1" applyProtection="1">
      <alignment horizontal="left" vertical="top" wrapText="1"/>
    </xf>
    <xf numFmtId="0" fontId="15" fillId="12" borderId="12" xfId="5" applyBorder="1" applyAlignment="1" applyProtection="1">
      <alignment horizontal="left" vertical="top" wrapText="1"/>
    </xf>
    <xf numFmtId="0" fontId="0" fillId="0" borderId="0" xfId="0" applyFont="1" applyAlignment="1" applyProtection="1">
      <alignment vertical="center" wrapText="1"/>
      <protection locked="0"/>
    </xf>
    <xf numFmtId="0" fontId="18" fillId="0" borderId="0" xfId="0" applyFont="1"/>
    <xf numFmtId="0" fontId="0" fillId="0" borderId="0" xfId="0" applyFont="1" applyProtection="1">
      <protection locked="0"/>
    </xf>
    <xf numFmtId="164" fontId="0" fillId="0" borderId="0" xfId="0" applyNumberFormat="1" applyFont="1" applyAlignment="1" applyProtection="1">
      <alignment horizontal="left"/>
      <protection locked="0"/>
    </xf>
    <xf numFmtId="164" fontId="0" fillId="0" borderId="0" xfId="0" applyNumberFormat="1" applyFont="1" applyAlignment="1" applyProtection="1">
      <alignment horizontal="right"/>
      <protection locked="0"/>
    </xf>
    <xf numFmtId="0" fontId="0" fillId="0" borderId="0" xfId="0" applyFont="1" applyAlignment="1" applyProtection="1">
      <alignment horizontal="right"/>
      <protection locked="0"/>
    </xf>
  </cellXfs>
  <cellStyles count="6">
    <cellStyle name="Ausgabe" xfId="4" builtinId="21"/>
    <cellStyle name="Eingabe" xfId="1" builtinId="20"/>
    <cellStyle name="Link" xfId="3" builtinId="8"/>
    <cellStyle name="Neutral" xfId="5" builtinId="28"/>
    <cellStyle name="Notiz" xfId="2" builtinId="10"/>
    <cellStyle name="Standard" xfId="0" builtinId="0"/>
  </cellStyles>
  <dxfs count="7">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strike val="0"/>
        <outline val="0"/>
        <shadow val="0"/>
        <u val="none"/>
        <vertAlign val="baseline"/>
        <sz val="11"/>
        <name val="Calibri"/>
        <family val="2"/>
        <scheme val="minor"/>
      </font>
      <protection locked="0" hidden="0"/>
    </dxf>
    <dxf>
      <font>
        <strike val="0"/>
        <outline val="0"/>
        <shadow val="0"/>
        <u val="none"/>
        <vertAlign val="baseline"/>
        <sz val="11"/>
        <color theme="1"/>
        <name val="Calibri"/>
        <family val="2"/>
        <scheme val="minor"/>
      </font>
      <numFmt numFmtId="164" formatCode="0.00000000"/>
      <alignment horizontal="right" textRotation="0" indent="0" justifyLastLine="0" shrinkToFit="0" readingOrder="0"/>
      <protection locked="0" hidden="0"/>
    </dxf>
    <dxf>
      <font>
        <strike val="0"/>
        <outline val="0"/>
        <shadow val="0"/>
        <u val="none"/>
        <vertAlign val="baseline"/>
        <sz val="11"/>
        <color theme="1"/>
        <name val="Calibri"/>
        <family val="2"/>
        <scheme val="minor"/>
      </font>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
      <font>
        <b val="0"/>
        <i val="0"/>
        <strike val="0"/>
        <condense val="0"/>
        <extend val="0"/>
        <outline val="0"/>
        <shadow val="0"/>
        <u val="none"/>
        <vertAlign val="baseline"/>
        <sz val="11"/>
        <color theme="1"/>
        <name val="Calibri"/>
        <family val="2"/>
        <scheme val="minor"/>
      </font>
      <alignment horizontal="general" vertical="center" textRotation="0" wrapText="1" indent="0" justifyLastLine="0" shrinkToFit="0" readingOrder="0"/>
      <protection locked="0" hidden="0"/>
    </dxf>
  </dxfs>
  <tableStyles count="0" defaultTableStyle="TableStyleMedium9" defaultPivotStyle="PivotStyleLight16"/>
  <colors>
    <mruColors>
      <color rgb="FFE5B789"/>
      <color rgb="FFFFCC99"/>
      <color rgb="FFE5E5B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457200</xdr:colOff>
          <xdr:row>24</xdr:row>
          <xdr:rowOff>104775</xdr:rowOff>
        </xdr:from>
        <xdr:to>
          <xdr:col>8</xdr:col>
          <xdr:colOff>66675</xdr:colOff>
          <xdr:row>25</xdr:row>
          <xdr:rowOff>123825</xdr:rowOff>
        </xdr:to>
        <xdr:sp macro="" textlink="">
          <xdr:nvSpPr>
            <xdr:cNvPr id="1025" name="Button 1" descr="Lösen"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100" b="1" i="0" u="none" strike="noStrike" baseline="0">
                  <a:solidFill>
                    <a:srgbClr val="000000"/>
                  </a:solidFill>
                  <a:latin typeface="Calibri"/>
                  <a:ea typeface="Calibri"/>
                  <a:cs typeface="Calibri"/>
                </a:rPr>
                <a:t>Fehlende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1243013</xdr:colOff>
          <xdr:row>24</xdr:row>
          <xdr:rowOff>104775</xdr:rowOff>
        </xdr:from>
        <xdr:to>
          <xdr:col>8</xdr:col>
          <xdr:colOff>2933700</xdr:colOff>
          <xdr:row>25</xdr:row>
          <xdr:rowOff>123825</xdr:rowOff>
        </xdr:to>
        <xdr:sp macro="" textlink="">
          <xdr:nvSpPr>
            <xdr:cNvPr id="1027" name="Button 3" descr="Lösen"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1100" b="0" i="0" u="none" strike="noStrike" baseline="0">
                  <a:solidFill>
                    <a:srgbClr val="000000"/>
                  </a:solidFill>
                  <a:latin typeface="Calibri"/>
                  <a:ea typeface="Calibri"/>
                  <a:cs typeface="Calibri"/>
                </a:rPr>
                <a:t>Formeln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3114675</xdr:colOff>
          <xdr:row>24</xdr:row>
          <xdr:rowOff>104775</xdr:rowOff>
        </xdr:from>
        <xdr:to>
          <xdr:col>8</xdr:col>
          <xdr:colOff>4138613</xdr:colOff>
          <xdr:row>25</xdr:row>
          <xdr:rowOff>123825</xdr:rowOff>
        </xdr:to>
        <xdr:sp macro="" textlink="">
          <xdr:nvSpPr>
            <xdr:cNvPr id="1028" name="Button 4" descr="Lösen"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1100" b="0" i="0" u="none" strike="noStrike" baseline="0">
                  <a:solidFill>
                    <a:srgbClr val="000000"/>
                  </a:solidFill>
                  <a:latin typeface="Calibri"/>
                  <a:ea typeface="Calibri"/>
                  <a:cs typeface="Calibri"/>
                </a:rPr>
                <a:t>Alles Löschen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32</xdr:row>
          <xdr:rowOff>100013</xdr:rowOff>
        </xdr:from>
        <xdr:to>
          <xdr:col>6</xdr:col>
          <xdr:colOff>952500</xdr:colOff>
          <xdr:row>33</xdr:row>
          <xdr:rowOff>123825</xdr:rowOff>
        </xdr:to>
        <xdr:sp macro="" textlink="">
          <xdr:nvSpPr>
            <xdr:cNvPr id="1032" name="Button 8" descr="Lösen"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de-DE" sz="1100" b="1" i="0" u="none" strike="noStrike" baseline="0">
                  <a:solidFill>
                    <a:srgbClr val="000000"/>
                  </a:solidFill>
                  <a:latin typeface="Calibri"/>
                  <a:ea typeface="Calibri"/>
                  <a:cs typeface="Calibri"/>
                </a:rPr>
                <a:t>Einheit umrechnen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390525</xdr:colOff>
          <xdr:row>23</xdr:row>
          <xdr:rowOff>47625</xdr:rowOff>
        </xdr:from>
        <xdr:to>
          <xdr:col>3</xdr:col>
          <xdr:colOff>1838325</xdr:colOff>
          <xdr:row>24</xdr:row>
          <xdr:rowOff>100013</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1100" b="0" i="0" u="none" strike="noStrike" baseline="0">
                  <a:solidFill>
                    <a:srgbClr val="000000"/>
                  </a:solidFill>
                  <a:latin typeface="Calibri"/>
                  <a:ea typeface="Calibri"/>
                  <a:cs typeface="Calibri"/>
                </a:rPr>
                <a:t>Formeln berechnen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2105025</xdr:colOff>
          <xdr:row>23</xdr:row>
          <xdr:rowOff>38100</xdr:rowOff>
        </xdr:from>
        <xdr:to>
          <xdr:col>3</xdr:col>
          <xdr:colOff>2943225</xdr:colOff>
          <xdr:row>24</xdr:row>
          <xdr:rowOff>76200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54864" tIns="50292" rIns="54864" bIns="50292" anchor="ctr" upright="1"/>
            <a:lstStyle/>
            <a:p>
              <a:pPr algn="ctr" rtl="0">
                <a:defRPr sz="1000"/>
              </a:pPr>
              <a:r>
                <a:rPr lang="de-DE" sz="1100" b="0" i="0" u="none" strike="noStrike" baseline="0">
                  <a:solidFill>
                    <a:srgbClr val="000000"/>
                  </a:solidFill>
                  <a:latin typeface="Calibri"/>
                  <a:ea typeface="Calibri"/>
                  <a:cs typeface="Calibri"/>
                </a:rPr>
                <a:t>Alle Leeren</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4E8219B-87DA-40FF-967F-FDD4658890EB}" name="Formeltabelle" displayName="Formeltabelle" ref="A27:E165" totalsRowShown="0" headerRowDxfId="1" dataDxfId="0">
  <autoFilter ref="A27:E165" xr:uid="{F4E8219B-87DA-40FF-967F-FDD4658890EB}"/>
  <sortState xmlns:xlrd2="http://schemas.microsoft.com/office/spreadsheetml/2017/richdata2" ref="A28:E165">
    <sortCondition ref="A27:A165"/>
  </sortState>
  <tableColumns count="5">
    <tableColumn id="1" xr3:uid="{03B108F0-4695-4DBD-9055-404FEC9346EC}" name="Der zu berechnende Wert" dataDxfId="6"/>
    <tableColumn id="2" xr3:uid="{168CA933-6180-4CE4-9740-0039C2720BF2}" name="Formel" dataDxfId="5"/>
    <tableColumn id="3" xr3:uid="{1FCEBC61-ED74-4BC7-A281-B22ADA399804}" name="Abhängigkeiten" dataDxfId="4"/>
    <tableColumn id="5" xr3:uid="{1CAADADE-D4D1-4DD0-B6E6-B43E303B0112}" name="Lösungswege mit Werten" dataDxfId="3" dataCellStyle="Standard"/>
    <tableColumn id="4" xr3:uid="{0CA4CC27-00B7-420D-AB49-0F4B33095ED4}" name="Ergebnis" dataDxfId="2" dataCellStyle="Standard"/>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mailto:meile.jeremy@stud.bauschule.ch"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ctrlProp" Target="../ctrlProps/ctrlProp6.xml"/><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1"/>
  <dimension ref="A1:I36"/>
  <sheetViews>
    <sheetView showGridLines="0" topLeftCell="A2" zoomScale="115" zoomScaleNormal="115" workbookViewId="0">
      <selection activeCell="G15" sqref="G15"/>
    </sheetView>
  </sheetViews>
  <sheetFormatPr baseColWidth="10" defaultColWidth="9.1328125" defaultRowHeight="14.25" x14ac:dyDescent="0.45"/>
  <cols>
    <col min="1" max="1" width="4.46484375" customWidth="1"/>
    <col min="2" max="2" width="3" customWidth="1"/>
    <col min="3" max="3" width="38.86328125" customWidth="1"/>
    <col min="4" max="4" width="1.796875" hidden="1" customWidth="1"/>
    <col min="5" max="5" width="12.19921875" customWidth="1"/>
    <col min="6" max="6" width="16.19921875" customWidth="1"/>
    <col min="7" max="7" width="19.53125" customWidth="1"/>
    <col min="8" max="8" width="33" customWidth="1"/>
    <col min="9" max="9" width="104.19921875" customWidth="1"/>
    <col min="11" max="11" width="17.796875" customWidth="1"/>
  </cols>
  <sheetData>
    <row r="1" spans="1:9" ht="18.399999999999999" thickBot="1" x14ac:dyDescent="0.6">
      <c r="A1" s="7" t="s">
        <v>32</v>
      </c>
      <c r="B1" s="6"/>
      <c r="C1" s="6"/>
      <c r="D1" s="4"/>
      <c r="E1" s="4"/>
      <c r="F1" s="4"/>
      <c r="G1" s="4"/>
      <c r="H1" s="4"/>
      <c r="I1" s="5" t="s">
        <v>31</v>
      </c>
    </row>
    <row r="2" spans="1:9" ht="14.65" thickBot="1" x14ac:dyDescent="0.5"/>
    <row r="3" spans="1:9" ht="14.65" thickBot="1" x14ac:dyDescent="0.5">
      <c r="B3" s="1"/>
      <c r="C3" s="34" t="s">
        <v>0</v>
      </c>
      <c r="D3" s="34" t="s">
        <v>254</v>
      </c>
      <c r="E3" s="34" t="s">
        <v>50</v>
      </c>
      <c r="F3" s="34" t="s">
        <v>37</v>
      </c>
      <c r="G3" s="34" t="s">
        <v>34</v>
      </c>
      <c r="H3" s="34" t="s">
        <v>35</v>
      </c>
      <c r="I3" s="35" t="s">
        <v>36</v>
      </c>
    </row>
    <row r="4" spans="1:9" x14ac:dyDescent="0.45">
      <c r="C4" s="2" t="s">
        <v>38</v>
      </c>
      <c r="D4" s="62" t="s">
        <v>41</v>
      </c>
      <c r="E4" s="15" t="s">
        <v>242</v>
      </c>
      <c r="F4" s="36" t="s">
        <v>27</v>
      </c>
      <c r="G4" s="32"/>
      <c r="H4" s="16"/>
      <c r="I4" s="17"/>
    </row>
    <row r="5" spans="1:9" x14ac:dyDescent="0.45">
      <c r="C5" s="22" t="s">
        <v>39</v>
      </c>
      <c r="D5" s="56" t="s">
        <v>42</v>
      </c>
      <c r="E5" s="23" t="s">
        <v>243</v>
      </c>
      <c r="F5" s="27" t="s">
        <v>27</v>
      </c>
      <c r="G5" s="33"/>
      <c r="H5" s="58"/>
      <c r="I5" s="31"/>
    </row>
    <row r="6" spans="1:9" x14ac:dyDescent="0.45">
      <c r="C6" s="21" t="s">
        <v>40</v>
      </c>
      <c r="D6" s="63" t="s">
        <v>180</v>
      </c>
      <c r="E6" s="12" t="s">
        <v>43</v>
      </c>
      <c r="F6" s="13" t="s">
        <v>44</v>
      </c>
      <c r="G6" s="14">
        <v>10</v>
      </c>
      <c r="H6" s="38" t="s">
        <v>351</v>
      </c>
      <c r="I6" s="44" t="s">
        <v>531</v>
      </c>
    </row>
    <row r="7" spans="1:9" x14ac:dyDescent="0.45">
      <c r="C7" s="24" t="s">
        <v>23</v>
      </c>
      <c r="D7" s="64" t="s">
        <v>21</v>
      </c>
      <c r="E7" s="25" t="s">
        <v>250</v>
      </c>
      <c r="F7" s="26" t="s">
        <v>29</v>
      </c>
      <c r="G7" s="39">
        <v>26.500000000000011</v>
      </c>
      <c r="H7" s="40" t="s">
        <v>349</v>
      </c>
      <c r="I7" s="45" t="s">
        <v>350</v>
      </c>
    </row>
    <row r="8" spans="1:9" x14ac:dyDescent="0.45">
      <c r="C8" s="18" t="s">
        <v>26</v>
      </c>
      <c r="D8" t="s">
        <v>18</v>
      </c>
      <c r="E8" s="3" t="s">
        <v>257</v>
      </c>
      <c r="F8" s="11" t="s">
        <v>29</v>
      </c>
      <c r="G8" s="8">
        <v>10</v>
      </c>
      <c r="H8" s="59" t="s">
        <v>351</v>
      </c>
      <c r="I8" s="19" t="s">
        <v>352</v>
      </c>
    </row>
    <row r="9" spans="1:9" x14ac:dyDescent="0.45">
      <c r="C9" s="22" t="s">
        <v>6</v>
      </c>
      <c r="D9" s="56" t="s">
        <v>181</v>
      </c>
      <c r="E9" s="23" t="s">
        <v>251</v>
      </c>
      <c r="F9" s="27" t="s">
        <v>29</v>
      </c>
      <c r="G9" s="33">
        <v>21.249999999999993</v>
      </c>
      <c r="H9" s="58" t="s">
        <v>339</v>
      </c>
      <c r="I9" s="31" t="s">
        <v>342</v>
      </c>
    </row>
    <row r="10" spans="1:9" x14ac:dyDescent="0.45">
      <c r="C10" s="18" t="s">
        <v>13</v>
      </c>
      <c r="D10" t="s">
        <v>19</v>
      </c>
      <c r="E10" s="3" t="s">
        <v>252</v>
      </c>
      <c r="F10" s="11" t="s">
        <v>29</v>
      </c>
      <c r="G10" s="8">
        <v>18.549999999999997</v>
      </c>
      <c r="H10" s="59" t="s">
        <v>340</v>
      </c>
      <c r="I10" s="19" t="s">
        <v>341</v>
      </c>
    </row>
    <row r="11" spans="1:9" x14ac:dyDescent="0.45">
      <c r="C11" s="28" t="s">
        <v>14</v>
      </c>
      <c r="D11" s="65" t="s">
        <v>20</v>
      </c>
      <c r="E11" s="29" t="s">
        <v>253</v>
      </c>
      <c r="F11" s="30" t="s">
        <v>29</v>
      </c>
      <c r="G11" s="41">
        <v>21.549999999999997</v>
      </c>
      <c r="H11" s="42" t="s">
        <v>532</v>
      </c>
      <c r="I11" s="46" t="s">
        <v>533</v>
      </c>
    </row>
    <row r="12" spans="1:9" x14ac:dyDescent="0.45">
      <c r="C12" s="20" t="s">
        <v>22</v>
      </c>
      <c r="D12" s="66" t="s">
        <v>15</v>
      </c>
      <c r="E12" s="9" t="s">
        <v>244</v>
      </c>
      <c r="F12" s="10" t="s">
        <v>45</v>
      </c>
      <c r="G12" s="43"/>
      <c r="H12" s="37"/>
      <c r="I12" s="47"/>
    </row>
    <row r="13" spans="1:9" x14ac:dyDescent="0.45">
      <c r="C13" s="22" t="s">
        <v>46</v>
      </c>
      <c r="D13" s="56" t="s">
        <v>47</v>
      </c>
      <c r="E13" s="23" t="s">
        <v>258</v>
      </c>
      <c r="F13" s="27" t="s">
        <v>45</v>
      </c>
      <c r="G13" s="33"/>
      <c r="H13" s="58"/>
      <c r="I13" s="31"/>
    </row>
    <row r="14" spans="1:9" x14ac:dyDescent="0.45">
      <c r="C14" s="67" t="s">
        <v>25</v>
      </c>
      <c r="D14" s="68" t="s">
        <v>17</v>
      </c>
      <c r="E14" s="69" t="s">
        <v>245</v>
      </c>
      <c r="F14" s="70" t="s">
        <v>45</v>
      </c>
      <c r="G14" s="14"/>
      <c r="H14" s="38"/>
      <c r="I14" s="44"/>
    </row>
    <row r="15" spans="1:9" x14ac:dyDescent="0.45">
      <c r="C15" s="24" t="s">
        <v>1</v>
      </c>
      <c r="D15" s="64" t="s">
        <v>2</v>
      </c>
      <c r="E15" s="25" t="s">
        <v>246</v>
      </c>
      <c r="F15" s="26" t="s">
        <v>28</v>
      </c>
      <c r="G15" s="39"/>
      <c r="H15" s="40"/>
      <c r="I15" s="45"/>
    </row>
    <row r="16" spans="1:9" x14ac:dyDescent="0.45">
      <c r="C16" s="18" t="s">
        <v>52</v>
      </c>
      <c r="D16" t="s">
        <v>3</v>
      </c>
      <c r="E16" s="3" t="s">
        <v>247</v>
      </c>
      <c r="F16" s="11" t="s">
        <v>28</v>
      </c>
      <c r="G16" s="8"/>
      <c r="H16" s="60"/>
      <c r="I16" s="49"/>
    </row>
    <row r="17" spans="3:9" x14ac:dyDescent="0.45">
      <c r="C17" s="22" t="s">
        <v>53</v>
      </c>
      <c r="D17" s="56" t="s">
        <v>51</v>
      </c>
      <c r="E17" s="23" t="s">
        <v>248</v>
      </c>
      <c r="F17" s="27" t="s">
        <v>28</v>
      </c>
      <c r="G17" s="33"/>
      <c r="H17" s="58"/>
      <c r="I17" s="31"/>
    </row>
    <row r="18" spans="3:9" x14ac:dyDescent="0.45">
      <c r="C18" s="18" t="s">
        <v>4</v>
      </c>
      <c r="D18" t="s">
        <v>5</v>
      </c>
      <c r="E18" s="3" t="s">
        <v>256</v>
      </c>
      <c r="F18" s="11" t="s">
        <v>28</v>
      </c>
      <c r="G18" s="8"/>
      <c r="H18" s="60"/>
      <c r="I18" s="49"/>
    </row>
    <row r="19" spans="3:9" x14ac:dyDescent="0.45">
      <c r="C19" s="71" t="s">
        <v>24</v>
      </c>
      <c r="D19" s="72" t="s">
        <v>16</v>
      </c>
      <c r="E19" s="73" t="s">
        <v>241</v>
      </c>
      <c r="F19" s="74" t="s">
        <v>28</v>
      </c>
      <c r="G19" s="41"/>
      <c r="H19" s="42"/>
      <c r="I19" s="46"/>
    </row>
    <row r="20" spans="3:9" x14ac:dyDescent="0.45">
      <c r="C20" s="20" t="s">
        <v>7</v>
      </c>
      <c r="D20" s="66" t="s">
        <v>182</v>
      </c>
      <c r="E20" s="9" t="s">
        <v>8</v>
      </c>
      <c r="F20" s="85" t="s">
        <v>30</v>
      </c>
      <c r="G20" s="8">
        <v>0.14555256064690023</v>
      </c>
      <c r="H20" s="60" t="s">
        <v>343</v>
      </c>
      <c r="I20" s="19" t="s">
        <v>344</v>
      </c>
    </row>
    <row r="21" spans="3:9" x14ac:dyDescent="0.45">
      <c r="C21" s="22" t="s">
        <v>9</v>
      </c>
      <c r="D21" s="56" t="s">
        <v>183</v>
      </c>
      <c r="E21" s="23" t="s">
        <v>10</v>
      </c>
      <c r="F21" s="86" t="s">
        <v>30</v>
      </c>
      <c r="G21" s="33">
        <v>0.3</v>
      </c>
      <c r="H21" s="58" t="s">
        <v>345</v>
      </c>
      <c r="I21" s="31" t="s">
        <v>346</v>
      </c>
    </row>
    <row r="22" spans="3:9" x14ac:dyDescent="0.45">
      <c r="C22" s="18" t="s">
        <v>11</v>
      </c>
      <c r="D22" t="s">
        <v>12</v>
      </c>
      <c r="E22" s="3" t="s">
        <v>249</v>
      </c>
      <c r="F22" s="87" t="s">
        <v>30</v>
      </c>
      <c r="G22" s="8">
        <v>0.89999999999999847</v>
      </c>
      <c r="H22" s="60" t="s">
        <v>347</v>
      </c>
      <c r="I22" s="19" t="s">
        <v>348</v>
      </c>
    </row>
    <row r="23" spans="3:9" ht="14.65" thickBot="1" x14ac:dyDescent="0.5">
      <c r="C23" s="61" t="s">
        <v>48</v>
      </c>
      <c r="D23" s="57" t="s">
        <v>184</v>
      </c>
      <c r="E23" s="50" t="s">
        <v>49</v>
      </c>
      <c r="F23" s="88" t="s">
        <v>30</v>
      </c>
      <c r="G23" s="51">
        <v>0.4285714285714286</v>
      </c>
      <c r="H23" s="52" t="s">
        <v>529</v>
      </c>
      <c r="I23" s="53" t="s">
        <v>530</v>
      </c>
    </row>
    <row r="24" spans="3:9" ht="14.65" thickBot="1" x14ac:dyDescent="0.5"/>
    <row r="25" spans="3:9" ht="14.65" thickBot="1" x14ac:dyDescent="0.5">
      <c r="F25" s="129" t="s">
        <v>33</v>
      </c>
      <c r="G25" s="130"/>
      <c r="H25" s="75"/>
      <c r="I25" s="76"/>
    </row>
    <row r="26" spans="3:9" ht="14.65" thickBot="1" x14ac:dyDescent="0.5">
      <c r="F26" s="127">
        <v>6</v>
      </c>
      <c r="G26" s="128"/>
      <c r="H26" s="77"/>
      <c r="I26" s="78"/>
    </row>
    <row r="29" spans="3:9" ht="14.65" thickBot="1" x14ac:dyDescent="0.5"/>
    <row r="30" spans="3:9" ht="14.65" thickBot="1" x14ac:dyDescent="0.5">
      <c r="F30" s="79" t="s">
        <v>86</v>
      </c>
      <c r="G30" s="80"/>
      <c r="H30" s="34" t="s">
        <v>37</v>
      </c>
      <c r="I30" s="83" t="s">
        <v>36</v>
      </c>
    </row>
    <row r="31" spans="3:9" x14ac:dyDescent="0.45">
      <c r="F31" s="123"/>
      <c r="G31" s="124"/>
      <c r="H31" s="54" t="s">
        <v>60</v>
      </c>
      <c r="I31" s="121" t="s">
        <v>287</v>
      </c>
    </row>
    <row r="32" spans="3:9" ht="14.65" thickBot="1" x14ac:dyDescent="0.5">
      <c r="F32" s="125">
        <v>0</v>
      </c>
      <c r="G32" s="126"/>
      <c r="H32" s="55" t="s">
        <v>45</v>
      </c>
      <c r="I32" s="122"/>
    </row>
    <row r="33" spans="6:7" x14ac:dyDescent="0.45">
      <c r="F33" s="81"/>
      <c r="G33" s="82"/>
    </row>
    <row r="34" spans="6:7" ht="14.65" thickBot="1" x14ac:dyDescent="0.5">
      <c r="F34" s="77"/>
      <c r="G34" s="78"/>
    </row>
    <row r="36" spans="6:7" x14ac:dyDescent="0.45">
      <c r="G36" s="48"/>
    </row>
  </sheetData>
  <sheetProtection algorithmName="SHA-512" hashValue="FCJnTXb7o7dU/gESrfF3rng+OidR1T+L4sUBUwBEnntj8o5maQzpzGlEzOBucc5gZI4tRyld8cxVvOvj+h+bKA==" saltValue="AjIcy8n+TCJKY+Nm2xG91g==" spinCount="100000" sheet="1" objects="1" scenarios="1" selectLockedCells="1"/>
  <mergeCells count="5">
    <mergeCell ref="I31:I32"/>
    <mergeCell ref="F31:G31"/>
    <mergeCell ref="F32:G32"/>
    <mergeCell ref="F26:G26"/>
    <mergeCell ref="F25:G25"/>
  </mergeCells>
  <dataValidations disablePrompts="1" count="1">
    <dataValidation type="list" allowBlank="1" showInputMessage="1" showErrorMessage="1" sqref="F11" xr:uid="{51D4D242-CC18-44B6-8018-C07E8564D994}">
      <formula1>#REF!</formula1>
    </dataValidation>
  </dataValidations>
  <hyperlinks>
    <hyperlink ref="I1" r:id="rId1" xr:uid="{08AA7F34-DE7D-478E-B2E7-D256BA8AAC6D}"/>
  </hyperlinks>
  <pageMargins left="0.75" right="0.75" top="1" bottom="1" header="0.5" footer="0.5"/>
  <pageSetup orientation="portrait" verticalDpi="300" r:id="rId2"/>
  <drawing r:id="rId3"/>
  <legacyDrawing r:id="rId4"/>
  <mc:AlternateContent xmlns:mc="http://schemas.openxmlformats.org/markup-compatibility/2006">
    <mc:Choice Requires="x14">
      <controls>
        <mc:AlternateContent xmlns:mc="http://schemas.openxmlformats.org/markup-compatibility/2006">
          <mc:Choice Requires="x14">
            <control shapeId="1025" r:id="rId5" name="Button 1">
              <controlPr defaultSize="0" print="0" autoFill="0" autoPict="0" macro="[0]!BerechneAlleZellenMitFormelTracking" altText="Lösen">
                <anchor moveWithCells="1">
                  <from>
                    <xdr:col>7</xdr:col>
                    <xdr:colOff>457200</xdr:colOff>
                    <xdr:row>24</xdr:row>
                    <xdr:rowOff>104775</xdr:rowOff>
                  </from>
                  <to>
                    <xdr:col>8</xdr:col>
                    <xdr:colOff>66675</xdr:colOff>
                    <xdr:row>25</xdr:row>
                    <xdr:rowOff>123825</xdr:rowOff>
                  </to>
                </anchor>
              </controlPr>
            </control>
          </mc:Choice>
        </mc:AlternateContent>
        <mc:AlternateContent xmlns:mc="http://schemas.openxmlformats.org/markup-compatibility/2006">
          <mc:Choice Requires="x14">
            <control shapeId="1027" r:id="rId6" name="Button 3">
              <controlPr defaultSize="0" print="0" autoFill="0" autoPict="0" macro="[0]!DeleteColumnsEandFContents" altText="Lösen">
                <anchor moveWithCells="1">
                  <from>
                    <xdr:col>8</xdr:col>
                    <xdr:colOff>1243013</xdr:colOff>
                    <xdr:row>24</xdr:row>
                    <xdr:rowOff>104775</xdr:rowOff>
                  </from>
                  <to>
                    <xdr:col>8</xdr:col>
                    <xdr:colOff>2933700</xdr:colOff>
                    <xdr:row>25</xdr:row>
                    <xdr:rowOff>123825</xdr:rowOff>
                  </to>
                </anchor>
              </controlPr>
            </control>
          </mc:Choice>
        </mc:AlternateContent>
        <mc:AlternateContent xmlns:mc="http://schemas.openxmlformats.org/markup-compatibility/2006">
          <mc:Choice Requires="x14">
            <control shapeId="1028" r:id="rId7" name="Button 4">
              <controlPr defaultSize="0" print="0" autoFill="0" autoPict="0" macro="[0]!DeleteColumnsDEFContents" altText="Lösen">
                <anchor moveWithCells="1">
                  <from>
                    <xdr:col>8</xdr:col>
                    <xdr:colOff>3114675</xdr:colOff>
                    <xdr:row>24</xdr:row>
                    <xdr:rowOff>104775</xdr:rowOff>
                  </from>
                  <to>
                    <xdr:col>8</xdr:col>
                    <xdr:colOff>4138613</xdr:colOff>
                    <xdr:row>25</xdr:row>
                    <xdr:rowOff>123825</xdr:rowOff>
                  </to>
                </anchor>
              </controlPr>
            </control>
          </mc:Choice>
        </mc:AlternateContent>
        <mc:AlternateContent xmlns:mc="http://schemas.openxmlformats.org/markup-compatibility/2006">
          <mc:Choice Requires="x14">
            <control shapeId="1032" r:id="rId8" name="Button 8">
              <controlPr defaultSize="0" print="0" autoFill="0" autoPict="0" macro="[0]!UnitConversion" altText="Lösen">
                <anchor moveWithCells="1">
                  <from>
                    <xdr:col>5</xdr:col>
                    <xdr:colOff>333375</xdr:colOff>
                    <xdr:row>32</xdr:row>
                    <xdr:rowOff>100013</xdr:rowOff>
                  </from>
                  <to>
                    <xdr:col>6</xdr:col>
                    <xdr:colOff>952500</xdr:colOff>
                    <xdr:row>33</xdr:row>
                    <xdr:rowOff>123825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61BA287-9602-4B6A-B8A8-5F92B80A216C}">
          <x14:formula1>
            <xm:f>Einheiten!$A$2:$A$57</xm:f>
          </x14:formula1>
          <xm:sqref>H31:H32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74483F-B0E5-43EC-BDB0-BAAB56F38EC8}">
  <sheetPr codeName="Tabelle3"/>
  <dimension ref="A1:G167"/>
  <sheetViews>
    <sheetView showGridLines="0" tabSelected="1" topLeftCell="A14" zoomScale="115" zoomScaleNormal="115" workbookViewId="0">
      <selection activeCell="F31" sqref="F31"/>
    </sheetView>
  </sheetViews>
  <sheetFormatPr baseColWidth="10" defaultColWidth="11.46484375" defaultRowHeight="14.25" x14ac:dyDescent="0.45"/>
  <cols>
    <col min="1" max="1" width="37.1328125" style="90" bestFit="1" customWidth="1"/>
    <col min="2" max="2" width="32.46484375" style="90" bestFit="1" customWidth="1"/>
    <col min="3" max="3" width="23.46484375" style="90" bestFit="1" customWidth="1"/>
    <col min="4" max="4" width="52.46484375" style="90" bestFit="1" customWidth="1"/>
    <col min="5" max="5" width="17.33203125" style="99" bestFit="1" customWidth="1"/>
    <col min="6" max="6" width="11.46484375" style="90"/>
    <col min="7" max="7" width="37.1328125" style="90" bestFit="1" customWidth="1"/>
    <col min="8" max="8" width="11.46484375" style="90"/>
    <col min="9" max="9" width="15.19921875" style="90" customWidth="1"/>
    <col min="10" max="16384" width="11.46484375" style="90"/>
  </cols>
  <sheetData>
    <row r="1" spans="1:7" ht="15" customHeight="1" x14ac:dyDescent="0.45">
      <c r="A1" s="131" t="s">
        <v>267</v>
      </c>
      <c r="B1" s="132"/>
      <c r="C1" s="132"/>
      <c r="D1" s="132"/>
      <c r="E1" s="132"/>
      <c r="F1" s="132"/>
      <c r="G1" s="132"/>
    </row>
    <row r="2" spans="1:7" ht="15" customHeight="1" x14ac:dyDescent="0.45">
      <c r="A2" s="133"/>
      <c r="B2" s="134"/>
      <c r="C2" s="134"/>
      <c r="D2" s="134"/>
      <c r="E2" s="134"/>
      <c r="F2" s="134"/>
      <c r="G2" s="134"/>
    </row>
    <row r="3" spans="1:7" ht="15.75" customHeight="1" thickBot="1" x14ac:dyDescent="0.5">
      <c r="A3" s="135"/>
      <c r="B3" s="136"/>
      <c r="C3" s="136"/>
      <c r="D3" s="136"/>
      <c r="E3" s="136"/>
      <c r="F3" s="136"/>
      <c r="G3" s="136"/>
    </row>
    <row r="4" spans="1:7" ht="14.65" thickBot="1" x14ac:dyDescent="0.5">
      <c r="A4" s="101"/>
      <c r="B4" s="101"/>
      <c r="C4" s="101"/>
      <c r="D4" s="101"/>
      <c r="E4" s="102"/>
      <c r="F4" s="101"/>
      <c r="G4" s="101"/>
    </row>
    <row r="5" spans="1:7" ht="15" customHeight="1" thickBot="1" x14ac:dyDescent="0.5">
      <c r="A5" s="103" t="s">
        <v>0</v>
      </c>
      <c r="B5" s="104" t="s">
        <v>255</v>
      </c>
      <c r="C5" s="104" t="s">
        <v>259</v>
      </c>
      <c r="D5" s="137" t="s">
        <v>268</v>
      </c>
      <c r="E5" s="138"/>
      <c r="F5" s="139"/>
      <c r="G5" s="101"/>
    </row>
    <row r="6" spans="1:7" ht="15" customHeight="1" x14ac:dyDescent="0.45">
      <c r="A6" s="105" t="s">
        <v>38</v>
      </c>
      <c r="B6" s="106" t="s">
        <v>41</v>
      </c>
      <c r="C6" s="91">
        <v>2.5369999999999999</v>
      </c>
      <c r="D6" s="140"/>
      <c r="E6" s="141"/>
      <c r="F6" s="142"/>
      <c r="G6" s="101"/>
    </row>
    <row r="7" spans="1:7" ht="15" customHeight="1" x14ac:dyDescent="0.45">
      <c r="A7" s="107" t="s">
        <v>39</v>
      </c>
      <c r="B7" s="108" t="s">
        <v>42</v>
      </c>
      <c r="C7" s="92">
        <v>2.15</v>
      </c>
      <c r="D7" s="140"/>
      <c r="E7" s="141"/>
      <c r="F7" s="142"/>
      <c r="G7" s="101"/>
    </row>
    <row r="8" spans="1:7" ht="15.75" customHeight="1" x14ac:dyDescent="0.45">
      <c r="A8" s="109" t="s">
        <v>40</v>
      </c>
      <c r="B8" s="110" t="s">
        <v>180</v>
      </c>
      <c r="C8" s="93">
        <v>10</v>
      </c>
      <c r="D8" s="140"/>
      <c r="E8" s="141"/>
      <c r="F8" s="142"/>
      <c r="G8" s="101"/>
    </row>
    <row r="9" spans="1:7" x14ac:dyDescent="0.45">
      <c r="A9" s="111" t="s">
        <v>23</v>
      </c>
      <c r="B9" s="112" t="s">
        <v>21</v>
      </c>
      <c r="C9" s="94">
        <v>26.500000000000004</v>
      </c>
      <c r="D9" s="140"/>
      <c r="E9" s="141"/>
      <c r="F9" s="142"/>
      <c r="G9" s="101"/>
    </row>
    <row r="10" spans="1:7" x14ac:dyDescent="0.45">
      <c r="A10" s="105" t="s">
        <v>26</v>
      </c>
      <c r="B10" s="106" t="s">
        <v>18</v>
      </c>
      <c r="C10" s="95">
        <v>10</v>
      </c>
      <c r="D10" s="140"/>
      <c r="E10" s="141"/>
      <c r="F10" s="142"/>
      <c r="G10" s="101"/>
    </row>
    <row r="11" spans="1:7" x14ac:dyDescent="0.45">
      <c r="A11" s="107" t="s">
        <v>6</v>
      </c>
      <c r="B11" s="108" t="s">
        <v>181</v>
      </c>
      <c r="C11" s="92">
        <v>20.199044585987256</v>
      </c>
      <c r="D11" s="140"/>
      <c r="E11" s="141"/>
      <c r="F11" s="142"/>
      <c r="G11" s="101"/>
    </row>
    <row r="12" spans="1:7" x14ac:dyDescent="0.45">
      <c r="A12" s="105" t="s">
        <v>13</v>
      </c>
      <c r="B12" s="106" t="s">
        <v>19</v>
      </c>
      <c r="C12" s="95">
        <v>17.117834394904456</v>
      </c>
      <c r="D12" s="140"/>
      <c r="E12" s="141"/>
      <c r="F12" s="142"/>
      <c r="G12" s="101"/>
    </row>
    <row r="13" spans="1:7" x14ac:dyDescent="0.45">
      <c r="A13" s="113" t="s">
        <v>14</v>
      </c>
      <c r="B13" s="114" t="s">
        <v>20</v>
      </c>
      <c r="C13" s="96">
        <v>20.658274245883948</v>
      </c>
      <c r="D13" s="140"/>
      <c r="E13" s="141"/>
      <c r="F13" s="142"/>
      <c r="G13" s="101"/>
    </row>
    <row r="14" spans="1:7" x14ac:dyDescent="0.45">
      <c r="A14" s="115" t="s">
        <v>22</v>
      </c>
      <c r="B14" s="116" t="s">
        <v>15</v>
      </c>
      <c r="C14" s="97">
        <v>21.5</v>
      </c>
      <c r="D14" s="140"/>
      <c r="E14" s="141"/>
      <c r="F14" s="142"/>
      <c r="G14" s="101"/>
    </row>
    <row r="15" spans="1:7" x14ac:dyDescent="0.45">
      <c r="A15" s="107" t="s">
        <v>46</v>
      </c>
      <c r="B15" s="108" t="s">
        <v>47</v>
      </c>
      <c r="C15" s="92">
        <v>3.870000000000001</v>
      </c>
      <c r="D15" s="140"/>
      <c r="E15" s="141"/>
      <c r="F15" s="142"/>
      <c r="G15" s="101"/>
    </row>
    <row r="16" spans="1:7" x14ac:dyDescent="0.45">
      <c r="A16" s="67" t="s">
        <v>25</v>
      </c>
      <c r="B16" s="117" t="s">
        <v>17</v>
      </c>
      <c r="C16" s="93">
        <v>25.369999999999997</v>
      </c>
      <c r="D16" s="140"/>
      <c r="E16" s="141"/>
      <c r="F16" s="142"/>
      <c r="G16" s="101"/>
    </row>
    <row r="17" spans="1:7" x14ac:dyDescent="0.45">
      <c r="A17" s="111" t="s">
        <v>1</v>
      </c>
      <c r="B17" s="112" t="s">
        <v>2</v>
      </c>
      <c r="C17" s="94">
        <v>8.1132075471698111E-4</v>
      </c>
      <c r="D17" s="140"/>
      <c r="E17" s="141"/>
      <c r="F17" s="142"/>
      <c r="G17" s="101"/>
    </row>
    <row r="18" spans="1:7" x14ac:dyDescent="0.45">
      <c r="A18" s="105" t="s">
        <v>52</v>
      </c>
      <c r="B18" s="106" t="s">
        <v>3</v>
      </c>
      <c r="C18" s="95">
        <v>4.4467924528301896E-4</v>
      </c>
      <c r="D18" s="140"/>
      <c r="E18" s="141"/>
      <c r="F18" s="142"/>
      <c r="G18" s="101"/>
    </row>
    <row r="19" spans="1:7" x14ac:dyDescent="0.45">
      <c r="A19" s="107" t="s">
        <v>53</v>
      </c>
      <c r="B19" s="108" t="s">
        <v>51</v>
      </c>
      <c r="C19" s="92">
        <v>5.7679245283018927E-5</v>
      </c>
      <c r="D19" s="140"/>
      <c r="E19" s="141"/>
      <c r="F19" s="142"/>
      <c r="G19" s="101"/>
    </row>
    <row r="20" spans="1:7" x14ac:dyDescent="0.45">
      <c r="A20" s="105" t="s">
        <v>4</v>
      </c>
      <c r="B20" s="106" t="s">
        <v>5</v>
      </c>
      <c r="C20" s="95">
        <v>3.8700000000000008E-4</v>
      </c>
      <c r="D20" s="140"/>
      <c r="E20" s="141"/>
      <c r="F20" s="142"/>
      <c r="G20" s="101"/>
    </row>
    <row r="21" spans="1:7" x14ac:dyDescent="0.45">
      <c r="A21" s="71" t="s">
        <v>24</v>
      </c>
      <c r="B21" s="118" t="s">
        <v>16</v>
      </c>
      <c r="C21" s="96">
        <v>1.2559999999999971E-3</v>
      </c>
      <c r="D21" s="140"/>
      <c r="E21" s="141"/>
      <c r="F21" s="142"/>
      <c r="G21" s="101"/>
    </row>
    <row r="22" spans="1:7" x14ac:dyDescent="0.45">
      <c r="A22" s="115" t="s">
        <v>7</v>
      </c>
      <c r="B22" s="116" t="s">
        <v>182</v>
      </c>
      <c r="C22" s="95">
        <v>0.18000000000000005</v>
      </c>
      <c r="D22" s="140"/>
      <c r="E22" s="141"/>
      <c r="F22" s="142"/>
      <c r="G22" s="101"/>
    </row>
    <row r="23" spans="1:7" x14ac:dyDescent="0.45">
      <c r="A23" s="107" t="s">
        <v>9</v>
      </c>
      <c r="B23" s="108" t="s">
        <v>183</v>
      </c>
      <c r="C23" s="92">
        <v>0.35404398509794505</v>
      </c>
      <c r="D23" s="140"/>
      <c r="E23" s="141"/>
      <c r="F23" s="142"/>
      <c r="G23" s="101"/>
    </row>
    <row r="24" spans="1:7" x14ac:dyDescent="0.45">
      <c r="A24" s="105" t="s">
        <v>11</v>
      </c>
      <c r="B24" s="106" t="s">
        <v>12</v>
      </c>
      <c r="C24" s="95">
        <v>0.87029022403258616</v>
      </c>
      <c r="D24" s="140"/>
      <c r="E24" s="141"/>
      <c r="F24" s="142"/>
      <c r="G24" s="101"/>
    </row>
    <row r="25" spans="1:7" ht="14.65" thickBot="1" x14ac:dyDescent="0.5">
      <c r="A25" s="119" t="s">
        <v>48</v>
      </c>
      <c r="B25" s="120" t="s">
        <v>184</v>
      </c>
      <c r="C25" s="98">
        <v>0.5480930232558141</v>
      </c>
      <c r="D25" s="143"/>
      <c r="E25" s="144"/>
      <c r="F25" s="145"/>
      <c r="G25" s="101"/>
    </row>
    <row r="27" spans="1:7" s="89" customFormat="1" x14ac:dyDescent="0.45">
      <c r="A27" s="148" t="s">
        <v>176</v>
      </c>
      <c r="B27" s="148" t="s">
        <v>35</v>
      </c>
      <c r="C27" s="148" t="s">
        <v>177</v>
      </c>
      <c r="D27" s="148" t="s">
        <v>269</v>
      </c>
      <c r="E27" s="149" t="s">
        <v>270</v>
      </c>
      <c r="F27" s="148"/>
      <c r="G27" s="148"/>
    </row>
    <row r="28" spans="1:7" s="89" customFormat="1" x14ac:dyDescent="0.45">
      <c r="A28" s="146" t="s">
        <v>184</v>
      </c>
      <c r="B28" s="146" t="s">
        <v>173</v>
      </c>
      <c r="C28" s="146" t="s">
        <v>137</v>
      </c>
      <c r="D28" s="148" t="s">
        <v>354</v>
      </c>
      <c r="E28" s="150">
        <v>0.54809446334368672</v>
      </c>
      <c r="F28" s="148"/>
      <c r="G28" s="148"/>
    </row>
    <row r="29" spans="1:7" s="89" customFormat="1" x14ac:dyDescent="0.45">
      <c r="A29" s="146" t="s">
        <v>184</v>
      </c>
      <c r="B29" s="146" t="s">
        <v>185</v>
      </c>
      <c r="C29" s="146" t="s">
        <v>183</v>
      </c>
      <c r="D29" s="148" t="s">
        <v>355</v>
      </c>
      <c r="E29" s="150">
        <v>0.54809303500403994</v>
      </c>
      <c r="F29" s="148"/>
      <c r="G29" s="148"/>
    </row>
    <row r="30" spans="1:7" s="89" customFormat="1" ht="19.5" customHeight="1" x14ac:dyDescent="0.45">
      <c r="A30" s="146" t="s">
        <v>184</v>
      </c>
      <c r="B30" s="146" t="s">
        <v>94</v>
      </c>
      <c r="C30" s="146" t="s">
        <v>158</v>
      </c>
      <c r="D30" s="148" t="s">
        <v>356</v>
      </c>
      <c r="E30" s="150">
        <v>0.54809446334368683</v>
      </c>
      <c r="F30" s="148"/>
      <c r="G30" s="148"/>
    </row>
    <row r="31" spans="1:7" s="89" customFormat="1" ht="19.5" customHeight="1" x14ac:dyDescent="0.45">
      <c r="A31" s="146" t="s">
        <v>184</v>
      </c>
      <c r="B31" s="148" t="s">
        <v>336</v>
      </c>
      <c r="C31" s="148" t="s">
        <v>338</v>
      </c>
      <c r="D31" s="148" t="s">
        <v>353</v>
      </c>
      <c r="E31" s="150">
        <v>0.54809302369936064</v>
      </c>
      <c r="F31" s="148"/>
      <c r="G31" s="148"/>
    </row>
    <row r="32" spans="1:7" s="89" customFormat="1" ht="28.5" x14ac:dyDescent="0.45">
      <c r="A32" s="146" t="s">
        <v>180</v>
      </c>
      <c r="B32" s="146" t="s">
        <v>470</v>
      </c>
      <c r="C32" s="146" t="s">
        <v>518</v>
      </c>
      <c r="D32" s="148" t="s">
        <v>471</v>
      </c>
      <c r="E32" s="150">
        <v>9.9999921166732371</v>
      </c>
      <c r="F32" s="148"/>
      <c r="G32" s="148"/>
    </row>
    <row r="33" spans="1:7" s="89" customFormat="1" x14ac:dyDescent="0.45">
      <c r="A33" s="146" t="s">
        <v>180</v>
      </c>
      <c r="B33" s="100" t="s">
        <v>472</v>
      </c>
      <c r="C33" s="146" t="s">
        <v>519</v>
      </c>
      <c r="D33" s="148" t="s">
        <v>473</v>
      </c>
      <c r="E33" s="150">
        <v>10.000000001986599</v>
      </c>
      <c r="F33" s="148"/>
      <c r="G33" s="148"/>
    </row>
    <row r="34" spans="1:7" s="89" customFormat="1" x14ac:dyDescent="0.45">
      <c r="A34" s="146" t="s">
        <v>180</v>
      </c>
      <c r="B34" s="146" t="s">
        <v>298</v>
      </c>
      <c r="C34" s="146" t="s">
        <v>299</v>
      </c>
      <c r="D34" s="148" t="s">
        <v>469</v>
      </c>
      <c r="E34" s="150">
        <v>9.9999998870196976</v>
      </c>
      <c r="F34" s="148"/>
      <c r="G34" s="148"/>
    </row>
    <row r="35" spans="1:7" s="89" customFormat="1" x14ac:dyDescent="0.45">
      <c r="A35" s="146" t="s">
        <v>180</v>
      </c>
      <c r="B35" s="146" t="s">
        <v>104</v>
      </c>
      <c r="C35" s="146" t="s">
        <v>105</v>
      </c>
      <c r="D35" s="148" t="s">
        <v>357</v>
      </c>
      <c r="E35" s="150">
        <v>10</v>
      </c>
      <c r="F35" s="148"/>
      <c r="G35" s="148"/>
    </row>
    <row r="36" spans="1:7" s="89" customFormat="1" x14ac:dyDescent="0.45">
      <c r="A36" s="146" t="s">
        <v>180</v>
      </c>
      <c r="B36" s="146" t="s">
        <v>102</v>
      </c>
      <c r="C36" s="146" t="s">
        <v>103</v>
      </c>
      <c r="D36" s="148" t="s">
        <v>358</v>
      </c>
      <c r="E36" s="150">
        <v>10</v>
      </c>
      <c r="F36" s="148"/>
      <c r="G36" s="148"/>
    </row>
    <row r="37" spans="1:7" s="89" customFormat="1" x14ac:dyDescent="0.45">
      <c r="A37" s="146" t="s">
        <v>15</v>
      </c>
      <c r="B37" s="146" t="s">
        <v>186</v>
      </c>
      <c r="C37" s="146" t="s">
        <v>187</v>
      </c>
      <c r="D37" s="148" t="s">
        <v>360</v>
      </c>
      <c r="E37" s="150">
        <v>21.499999943600002</v>
      </c>
      <c r="F37" s="148"/>
      <c r="G37" s="148"/>
    </row>
    <row r="38" spans="1:7" s="89" customFormat="1" x14ac:dyDescent="0.45">
      <c r="A38" s="146" t="s">
        <v>15</v>
      </c>
      <c r="B38" s="146" t="s">
        <v>281</v>
      </c>
      <c r="C38" s="146" t="s">
        <v>282</v>
      </c>
      <c r="D38" s="148" t="s">
        <v>361</v>
      </c>
      <c r="E38" s="150">
        <v>21.5</v>
      </c>
      <c r="F38" s="148"/>
      <c r="G38" s="148"/>
    </row>
    <row r="39" spans="1:7" s="89" customFormat="1" x14ac:dyDescent="0.45">
      <c r="A39" s="146" t="s">
        <v>15</v>
      </c>
      <c r="B39" s="146" t="s">
        <v>108</v>
      </c>
      <c r="C39" s="146" t="s">
        <v>109</v>
      </c>
      <c r="D39" s="148" t="s">
        <v>362</v>
      </c>
      <c r="E39" s="150">
        <v>21.5</v>
      </c>
      <c r="F39" s="148"/>
      <c r="G39" s="148"/>
    </row>
    <row r="40" spans="1:7" s="89" customFormat="1" x14ac:dyDescent="0.45">
      <c r="A40" s="146" t="s">
        <v>15</v>
      </c>
      <c r="B40" s="146" t="s">
        <v>112</v>
      </c>
      <c r="C40" s="146" t="s">
        <v>113</v>
      </c>
      <c r="D40" s="148" t="s">
        <v>363</v>
      </c>
      <c r="E40" s="150">
        <v>21.5</v>
      </c>
      <c r="F40" s="148"/>
      <c r="G40" s="148"/>
    </row>
    <row r="41" spans="1:7" s="89" customFormat="1" x14ac:dyDescent="0.45">
      <c r="A41" s="146" t="s">
        <v>15</v>
      </c>
      <c r="B41" s="148" t="s">
        <v>334</v>
      </c>
      <c r="C41" s="148" t="s">
        <v>335</v>
      </c>
      <c r="D41" s="148" t="s">
        <v>359</v>
      </c>
      <c r="E41" s="150">
        <v>21.5</v>
      </c>
      <c r="F41" s="148"/>
      <c r="G41" s="148"/>
    </row>
    <row r="42" spans="1:7" s="89" customFormat="1" x14ac:dyDescent="0.45">
      <c r="A42" s="146" t="s">
        <v>15</v>
      </c>
      <c r="B42" s="146" t="s">
        <v>188</v>
      </c>
      <c r="C42" s="146" t="s">
        <v>189</v>
      </c>
      <c r="D42" s="148" t="s">
        <v>364</v>
      </c>
      <c r="E42" s="150">
        <v>21.5</v>
      </c>
      <c r="F42" s="148"/>
      <c r="G42" s="148"/>
    </row>
    <row r="43" spans="1:7" s="89" customFormat="1" x14ac:dyDescent="0.45">
      <c r="A43" s="146" t="s">
        <v>15</v>
      </c>
      <c r="B43" s="146" t="s">
        <v>106</v>
      </c>
      <c r="C43" s="146" t="s">
        <v>107</v>
      </c>
      <c r="D43" s="148" t="s">
        <v>365</v>
      </c>
      <c r="E43" s="150">
        <v>21.499980000000001</v>
      </c>
      <c r="F43" s="148"/>
      <c r="G43" s="148"/>
    </row>
    <row r="44" spans="1:7" s="89" customFormat="1" x14ac:dyDescent="0.45">
      <c r="A44" s="146" t="s">
        <v>15</v>
      </c>
      <c r="B44" s="146" t="s">
        <v>114</v>
      </c>
      <c r="C44" s="146" t="s">
        <v>115</v>
      </c>
      <c r="D44" s="148" t="s">
        <v>366</v>
      </c>
      <c r="E44" s="150">
        <v>21.499999993839999</v>
      </c>
      <c r="F44" s="148"/>
      <c r="G44" s="148"/>
    </row>
    <row r="45" spans="1:7" s="89" customFormat="1" x14ac:dyDescent="0.45">
      <c r="A45" s="146" t="s">
        <v>15</v>
      </c>
      <c r="B45" s="146" t="s">
        <v>110</v>
      </c>
      <c r="C45" s="146" t="s">
        <v>111</v>
      </c>
      <c r="D45" s="148" t="s">
        <v>367</v>
      </c>
      <c r="E45" s="150">
        <v>21.499999993839999</v>
      </c>
      <c r="F45" s="148"/>
      <c r="G45" s="148"/>
    </row>
    <row r="46" spans="1:7" s="89" customFormat="1" x14ac:dyDescent="0.45">
      <c r="A46" s="146" t="s">
        <v>15</v>
      </c>
      <c r="B46" s="146" t="s">
        <v>116</v>
      </c>
      <c r="C46" s="146" t="s">
        <v>117</v>
      </c>
      <c r="D46" s="148" t="s">
        <v>368</v>
      </c>
      <c r="E46" s="150">
        <v>21.499980000000001</v>
      </c>
      <c r="F46" s="148"/>
      <c r="G46" s="148"/>
    </row>
    <row r="47" spans="1:7" s="89" customFormat="1" x14ac:dyDescent="0.45">
      <c r="A47" s="146" t="s">
        <v>17</v>
      </c>
      <c r="B47" s="146" t="s">
        <v>190</v>
      </c>
      <c r="C47" s="146" t="s">
        <v>191</v>
      </c>
      <c r="D47" s="148" t="s">
        <v>371</v>
      </c>
      <c r="E47" s="150">
        <v>25.37</v>
      </c>
      <c r="F47" s="148"/>
      <c r="G47" s="148"/>
    </row>
    <row r="48" spans="1:7" s="89" customFormat="1" x14ac:dyDescent="0.45">
      <c r="A48" s="146" t="s">
        <v>17</v>
      </c>
      <c r="B48" s="146" t="s">
        <v>130</v>
      </c>
      <c r="C48" s="146" t="s">
        <v>131</v>
      </c>
      <c r="D48" s="148" t="s">
        <v>372</v>
      </c>
      <c r="E48" s="150">
        <v>25.369980000000002</v>
      </c>
      <c r="F48" s="148"/>
      <c r="G48" s="148"/>
    </row>
    <row r="49" spans="1:7" s="89" customFormat="1" x14ac:dyDescent="0.45">
      <c r="A49" s="146" t="s">
        <v>17</v>
      </c>
      <c r="B49" s="146" t="s">
        <v>126</v>
      </c>
      <c r="C49" s="146" t="s">
        <v>127</v>
      </c>
      <c r="D49" s="148" t="s">
        <v>373</v>
      </c>
      <c r="E49" s="150">
        <v>25.37</v>
      </c>
      <c r="F49" s="148"/>
      <c r="G49" s="148"/>
    </row>
    <row r="50" spans="1:7" s="89" customFormat="1" x14ac:dyDescent="0.45">
      <c r="A50" s="146" t="s">
        <v>17</v>
      </c>
      <c r="B50" s="146" t="s">
        <v>128</v>
      </c>
      <c r="C50" s="146" t="s">
        <v>129</v>
      </c>
      <c r="D50" s="148" t="s">
        <v>374</v>
      </c>
      <c r="E50" s="150">
        <v>25.37</v>
      </c>
      <c r="F50" s="148"/>
      <c r="G50" s="148"/>
    </row>
    <row r="51" spans="1:7" s="89" customFormat="1" x14ac:dyDescent="0.45">
      <c r="A51" s="146" t="s">
        <v>17</v>
      </c>
      <c r="B51" s="148" t="s">
        <v>330</v>
      </c>
      <c r="C51" s="148" t="s">
        <v>332</v>
      </c>
      <c r="D51" s="148" t="s">
        <v>369</v>
      </c>
      <c r="E51" s="150">
        <v>25.37</v>
      </c>
      <c r="F51" s="148"/>
      <c r="G51" s="148"/>
    </row>
    <row r="52" spans="1:7" s="89" customFormat="1" x14ac:dyDescent="0.45">
      <c r="A52" s="146" t="s">
        <v>17</v>
      </c>
      <c r="B52" s="146" t="s">
        <v>193</v>
      </c>
      <c r="C52" s="146" t="s">
        <v>192</v>
      </c>
      <c r="D52" s="148" t="s">
        <v>375</v>
      </c>
      <c r="E52" s="150">
        <v>25.369999999999997</v>
      </c>
      <c r="F52" s="148"/>
      <c r="G52" s="148"/>
    </row>
    <row r="53" spans="1:7" s="89" customFormat="1" x14ac:dyDescent="0.45">
      <c r="A53" s="146" t="s">
        <v>17</v>
      </c>
      <c r="B53" s="146" t="s">
        <v>194</v>
      </c>
      <c r="C53" s="146" t="s">
        <v>195</v>
      </c>
      <c r="D53" s="148" t="s">
        <v>376</v>
      </c>
      <c r="E53" s="150">
        <v>25.370000005040001</v>
      </c>
      <c r="F53" s="148"/>
      <c r="G53" s="148"/>
    </row>
    <row r="54" spans="1:7" s="89" customFormat="1" x14ac:dyDescent="0.45">
      <c r="A54" s="146" t="s">
        <v>17</v>
      </c>
      <c r="B54" s="148" t="s">
        <v>331</v>
      </c>
      <c r="C54" s="148" t="s">
        <v>333</v>
      </c>
      <c r="D54" s="148" t="s">
        <v>370</v>
      </c>
      <c r="E54" s="150">
        <v>25.36999999384</v>
      </c>
      <c r="F54" s="148"/>
      <c r="G54" s="148"/>
    </row>
    <row r="55" spans="1:7" s="89" customFormat="1" x14ac:dyDescent="0.45">
      <c r="A55" s="146" t="s">
        <v>47</v>
      </c>
      <c r="B55" s="148" t="s">
        <v>500</v>
      </c>
      <c r="C55" s="148" t="s">
        <v>520</v>
      </c>
      <c r="D55" s="148" t="s">
        <v>504</v>
      </c>
      <c r="E55" s="150">
        <v>3.870000000000001</v>
      </c>
      <c r="F55" s="148"/>
      <c r="G55" s="148"/>
    </row>
    <row r="56" spans="1:7" s="89" customFormat="1" x14ac:dyDescent="0.45">
      <c r="A56" s="146" t="s">
        <v>47</v>
      </c>
      <c r="B56" s="148" t="s">
        <v>502</v>
      </c>
      <c r="C56" s="148" t="s">
        <v>521</v>
      </c>
      <c r="D56" s="148" t="s">
        <v>506</v>
      </c>
      <c r="E56" s="150">
        <v>3.8699999999999997</v>
      </c>
      <c r="F56" s="148"/>
      <c r="G56" s="148"/>
    </row>
    <row r="57" spans="1:7" s="89" customFormat="1" x14ac:dyDescent="0.45">
      <c r="A57" s="146" t="s">
        <v>47</v>
      </c>
      <c r="B57" s="148" t="s">
        <v>503</v>
      </c>
      <c r="C57" s="148" t="s">
        <v>522</v>
      </c>
      <c r="D57" s="148" t="s">
        <v>507</v>
      </c>
      <c r="E57" s="150">
        <v>3.870000011200001</v>
      </c>
      <c r="F57" s="148"/>
      <c r="G57" s="148"/>
    </row>
    <row r="58" spans="1:7" s="89" customFormat="1" x14ac:dyDescent="0.45">
      <c r="A58" s="146" t="s">
        <v>47</v>
      </c>
      <c r="B58" s="146" t="s">
        <v>175</v>
      </c>
      <c r="C58" s="146" t="s">
        <v>150</v>
      </c>
      <c r="D58" s="148" t="s">
        <v>378</v>
      </c>
      <c r="E58" s="150">
        <v>3.870000000000001</v>
      </c>
      <c r="F58" s="148"/>
      <c r="G58" s="148"/>
    </row>
    <row r="59" spans="1:7" s="89" customFormat="1" x14ac:dyDescent="0.45">
      <c r="A59" s="146" t="s">
        <v>47</v>
      </c>
      <c r="B59" s="148" t="s">
        <v>328</v>
      </c>
      <c r="C59" s="148" t="s">
        <v>329</v>
      </c>
      <c r="D59" s="148" t="s">
        <v>377</v>
      </c>
      <c r="E59" s="150">
        <v>3.8700000356515289</v>
      </c>
      <c r="F59" s="148"/>
      <c r="G59" s="148"/>
    </row>
    <row r="60" spans="1:7" s="89" customFormat="1" x14ac:dyDescent="0.45">
      <c r="A60" s="146" t="s">
        <v>47</v>
      </c>
      <c r="B60" s="148" t="s">
        <v>501</v>
      </c>
      <c r="C60" s="148" t="s">
        <v>523</v>
      </c>
      <c r="D60" s="148" t="s">
        <v>505</v>
      </c>
      <c r="E60" s="150">
        <v>3.8700065502959999</v>
      </c>
      <c r="F60" s="148"/>
      <c r="G60" s="148"/>
    </row>
    <row r="61" spans="1:7" s="89" customFormat="1" x14ac:dyDescent="0.45">
      <c r="A61" s="146" t="s">
        <v>47</v>
      </c>
      <c r="B61" s="146" t="s">
        <v>197</v>
      </c>
      <c r="C61" s="146" t="s">
        <v>196</v>
      </c>
      <c r="D61" s="148" t="s">
        <v>379</v>
      </c>
      <c r="E61" s="150">
        <v>3.8699999999999997</v>
      </c>
      <c r="F61" s="148"/>
      <c r="G61" s="148"/>
    </row>
    <row r="62" spans="1:7" s="89" customFormat="1" x14ac:dyDescent="0.45">
      <c r="A62" s="146" t="s">
        <v>47</v>
      </c>
      <c r="B62" s="146" t="s">
        <v>508</v>
      </c>
      <c r="C62" s="146" t="s">
        <v>524</v>
      </c>
      <c r="D62" s="146" t="s">
        <v>509</v>
      </c>
      <c r="E62" s="146">
        <v>3.8699963999999998</v>
      </c>
      <c r="F62" s="148"/>
      <c r="G62" s="148"/>
    </row>
    <row r="63" spans="1:7" s="89" customFormat="1" x14ac:dyDescent="0.45">
      <c r="A63" s="146" t="s">
        <v>47</v>
      </c>
      <c r="B63" s="146" t="s">
        <v>97</v>
      </c>
      <c r="C63" s="146" t="s">
        <v>174</v>
      </c>
      <c r="D63" s="148" t="s">
        <v>380</v>
      </c>
      <c r="E63" s="150">
        <v>3.8699999999999997</v>
      </c>
      <c r="F63" s="148"/>
      <c r="G63" s="148"/>
    </row>
    <row r="64" spans="1:7" s="89" customFormat="1" x14ac:dyDescent="0.45">
      <c r="A64" s="146" t="s">
        <v>42</v>
      </c>
      <c r="B64" s="146" t="s">
        <v>493</v>
      </c>
      <c r="C64" s="146" t="s">
        <v>525</v>
      </c>
      <c r="D64" s="148" t="s">
        <v>497</v>
      </c>
      <c r="E64" s="150">
        <v>2.15</v>
      </c>
      <c r="F64" s="148"/>
      <c r="G64" s="148"/>
    </row>
    <row r="65" spans="1:7" s="89" customFormat="1" x14ac:dyDescent="0.45">
      <c r="A65" s="146" t="s">
        <v>42</v>
      </c>
      <c r="B65" s="146" t="s">
        <v>494</v>
      </c>
      <c r="C65" s="146" t="s">
        <v>526</v>
      </c>
      <c r="D65" s="148" t="s">
        <v>498</v>
      </c>
      <c r="E65" s="150">
        <v>2.1499980000000001</v>
      </c>
      <c r="F65" s="148"/>
      <c r="G65" s="148"/>
    </row>
    <row r="66" spans="1:7" s="89" customFormat="1" x14ac:dyDescent="0.45">
      <c r="A66" s="146" t="s">
        <v>42</v>
      </c>
      <c r="B66" s="146" t="s">
        <v>198</v>
      </c>
      <c r="C66" s="146" t="s">
        <v>199</v>
      </c>
      <c r="D66" s="148" t="s">
        <v>382</v>
      </c>
      <c r="E66" s="150">
        <v>2.15</v>
      </c>
      <c r="F66" s="148"/>
      <c r="G66" s="148"/>
    </row>
    <row r="67" spans="1:7" s="89" customFormat="1" x14ac:dyDescent="0.45">
      <c r="A67" s="146" t="s">
        <v>42</v>
      </c>
      <c r="B67" s="146" t="s">
        <v>492</v>
      </c>
      <c r="C67" s="146" t="s">
        <v>527</v>
      </c>
      <c r="D67" s="148" t="s">
        <v>496</v>
      </c>
      <c r="E67" s="150">
        <v>2.15</v>
      </c>
      <c r="F67" s="148"/>
      <c r="G67" s="148"/>
    </row>
    <row r="68" spans="1:7" s="89" customFormat="1" x14ac:dyDescent="0.45">
      <c r="A68" s="146" t="s">
        <v>42</v>
      </c>
      <c r="B68" s="146" t="s">
        <v>495</v>
      </c>
      <c r="C68" s="146" t="s">
        <v>528</v>
      </c>
      <c r="D68" s="148" t="s">
        <v>499</v>
      </c>
      <c r="E68" s="150">
        <v>2.15</v>
      </c>
      <c r="F68" s="148"/>
      <c r="G68" s="148"/>
    </row>
    <row r="69" spans="1:7" s="89" customFormat="1" x14ac:dyDescent="0.45">
      <c r="A69" s="146" t="s">
        <v>42</v>
      </c>
      <c r="B69" s="148" t="s">
        <v>327</v>
      </c>
      <c r="C69" s="148" t="s">
        <v>337</v>
      </c>
      <c r="D69" s="148" t="s">
        <v>381</v>
      </c>
      <c r="E69" s="150">
        <v>2.15</v>
      </c>
      <c r="F69" s="148"/>
      <c r="G69" s="148"/>
    </row>
    <row r="70" spans="1:7" s="89" customFormat="1" x14ac:dyDescent="0.45">
      <c r="A70" s="146" t="s">
        <v>42</v>
      </c>
      <c r="B70" s="146" t="s">
        <v>200</v>
      </c>
      <c r="C70" s="146" t="s">
        <v>201</v>
      </c>
      <c r="D70" s="148" t="s">
        <v>383</v>
      </c>
      <c r="E70" s="150">
        <v>2.15</v>
      </c>
      <c r="F70" s="148"/>
      <c r="G70" s="148"/>
    </row>
    <row r="71" spans="1:7" s="89" customFormat="1" x14ac:dyDescent="0.45">
      <c r="A71" s="146" t="s">
        <v>42</v>
      </c>
      <c r="B71" s="146" t="s">
        <v>262</v>
      </c>
      <c r="C71" s="146" t="s">
        <v>261</v>
      </c>
      <c r="D71" s="148" t="s">
        <v>384</v>
      </c>
      <c r="E71" s="150">
        <v>2.1499980000000001</v>
      </c>
      <c r="F71" s="148"/>
      <c r="G71" s="148"/>
    </row>
    <row r="72" spans="1:7" s="89" customFormat="1" x14ac:dyDescent="0.45">
      <c r="A72" s="146" t="s">
        <v>41</v>
      </c>
      <c r="B72" s="148" t="s">
        <v>323</v>
      </c>
      <c r="C72" s="148" t="s">
        <v>326</v>
      </c>
      <c r="D72" s="148" t="s">
        <v>387</v>
      </c>
      <c r="E72" s="150">
        <v>2.5369980000000001</v>
      </c>
      <c r="F72" s="148"/>
      <c r="G72" s="148"/>
    </row>
    <row r="73" spans="1:7" s="89" customFormat="1" x14ac:dyDescent="0.45">
      <c r="A73" s="146" t="s">
        <v>41</v>
      </c>
      <c r="B73" s="146" t="s">
        <v>203</v>
      </c>
      <c r="C73" s="146" t="s">
        <v>202</v>
      </c>
      <c r="D73" s="148" t="s">
        <v>388</v>
      </c>
      <c r="E73" s="150">
        <v>2.5369999999999999</v>
      </c>
      <c r="F73" s="148"/>
      <c r="G73" s="148"/>
    </row>
    <row r="74" spans="1:7" s="89" customFormat="1" x14ac:dyDescent="0.45">
      <c r="A74" s="146" t="s">
        <v>41</v>
      </c>
      <c r="B74" s="146" t="s">
        <v>204</v>
      </c>
      <c r="C74" s="146" t="s">
        <v>205</v>
      </c>
      <c r="D74" s="148" t="s">
        <v>389</v>
      </c>
      <c r="E74" s="150">
        <v>2.5369999999999999</v>
      </c>
      <c r="F74" s="148"/>
      <c r="G74" s="148"/>
    </row>
    <row r="75" spans="1:7" s="89" customFormat="1" x14ac:dyDescent="0.45">
      <c r="A75" s="146" t="s">
        <v>41</v>
      </c>
      <c r="B75" s="148" t="s">
        <v>322</v>
      </c>
      <c r="C75" s="148" t="s">
        <v>325</v>
      </c>
      <c r="D75" s="148" t="s">
        <v>386</v>
      </c>
      <c r="E75" s="150">
        <v>2.5369999999999999</v>
      </c>
      <c r="F75" s="148"/>
      <c r="G75" s="148"/>
    </row>
    <row r="76" spans="1:7" s="89" customFormat="1" x14ac:dyDescent="0.45">
      <c r="A76" s="146" t="s">
        <v>41</v>
      </c>
      <c r="B76" s="148" t="s">
        <v>324</v>
      </c>
      <c r="C76" s="148" t="s">
        <v>205</v>
      </c>
      <c r="D76" s="148" t="s">
        <v>385</v>
      </c>
      <c r="E76" s="150">
        <v>2.5369999999999999</v>
      </c>
      <c r="F76" s="148"/>
      <c r="G76" s="148"/>
    </row>
    <row r="77" spans="1:7" s="89" customFormat="1" x14ac:dyDescent="0.45">
      <c r="A77" s="146" t="s">
        <v>41</v>
      </c>
      <c r="B77" s="146" t="s">
        <v>207</v>
      </c>
      <c r="C77" s="146" t="s">
        <v>206</v>
      </c>
      <c r="D77" s="148" t="s">
        <v>390</v>
      </c>
      <c r="E77" s="150">
        <v>2.5370000005039999</v>
      </c>
      <c r="F77" s="148"/>
      <c r="G77" s="148"/>
    </row>
    <row r="78" spans="1:7" s="89" customFormat="1" x14ac:dyDescent="0.45">
      <c r="A78" s="146" t="s">
        <v>183</v>
      </c>
      <c r="B78" s="146" t="s">
        <v>154</v>
      </c>
      <c r="C78" s="146" t="s">
        <v>137</v>
      </c>
      <c r="D78" s="148" t="s">
        <v>391</v>
      </c>
      <c r="E78" s="150">
        <v>0.35404458598726107</v>
      </c>
      <c r="F78" s="148"/>
      <c r="G78" s="148"/>
    </row>
    <row r="79" spans="1:7" s="89" customFormat="1" x14ac:dyDescent="0.45">
      <c r="A79" s="146" t="s">
        <v>183</v>
      </c>
      <c r="B79" s="146" t="s">
        <v>155</v>
      </c>
      <c r="C79" s="146" t="s">
        <v>156</v>
      </c>
      <c r="D79" s="148" t="s">
        <v>392</v>
      </c>
      <c r="E79" s="150">
        <v>0.35404398600000031</v>
      </c>
      <c r="F79" s="148"/>
      <c r="G79" s="148"/>
    </row>
    <row r="80" spans="1:7" s="89" customFormat="1" x14ac:dyDescent="0.45">
      <c r="A80" s="146" t="s">
        <v>183</v>
      </c>
      <c r="B80" s="146" t="s">
        <v>159</v>
      </c>
      <c r="C80" s="146" t="s">
        <v>160</v>
      </c>
      <c r="D80" s="148" t="s">
        <v>393</v>
      </c>
      <c r="E80" s="150">
        <v>0.35404458598726107</v>
      </c>
      <c r="F80" s="148"/>
      <c r="G80" s="148"/>
    </row>
    <row r="81" spans="1:7" s="89" customFormat="1" x14ac:dyDescent="0.45">
      <c r="A81" s="146" t="s">
        <v>183</v>
      </c>
      <c r="B81" s="146" t="s">
        <v>283</v>
      </c>
      <c r="C81" s="146" t="s">
        <v>285</v>
      </c>
      <c r="D81" s="148" t="s">
        <v>397</v>
      </c>
      <c r="E81" s="150">
        <v>0.35404398528301895</v>
      </c>
      <c r="F81" s="148"/>
      <c r="G81" s="148"/>
    </row>
    <row r="82" spans="1:7" s="89" customFormat="1" x14ac:dyDescent="0.45">
      <c r="A82" s="146" t="s">
        <v>183</v>
      </c>
      <c r="B82" s="146" t="s">
        <v>208</v>
      </c>
      <c r="C82" s="146" t="s">
        <v>184</v>
      </c>
      <c r="D82" s="148" t="s">
        <v>394</v>
      </c>
      <c r="E82" s="150">
        <v>0.35404398373942675</v>
      </c>
      <c r="F82" s="148"/>
      <c r="G82" s="148"/>
    </row>
    <row r="83" spans="1:7" s="89" customFormat="1" x14ac:dyDescent="0.45">
      <c r="A83" s="146" t="s">
        <v>183</v>
      </c>
      <c r="B83" s="146" t="s">
        <v>157</v>
      </c>
      <c r="C83" s="146" t="s">
        <v>158</v>
      </c>
      <c r="D83" s="148" t="s">
        <v>395</v>
      </c>
      <c r="E83" s="150">
        <v>0.35404458598726113</v>
      </c>
      <c r="F83" s="148"/>
      <c r="G83" s="148"/>
    </row>
    <row r="84" spans="1:7" s="89" customFormat="1" x14ac:dyDescent="0.45">
      <c r="A84" s="146" t="s">
        <v>183</v>
      </c>
      <c r="B84" s="146" t="s">
        <v>92</v>
      </c>
      <c r="C84" s="146" t="s">
        <v>153</v>
      </c>
      <c r="D84" s="148" t="s">
        <v>396</v>
      </c>
      <c r="E84" s="150">
        <v>0.35404458598726113</v>
      </c>
      <c r="F84" s="148"/>
      <c r="G84" s="148"/>
    </row>
    <row r="85" spans="1:7" s="89" customFormat="1" x14ac:dyDescent="0.45">
      <c r="A85" s="146" t="s">
        <v>12</v>
      </c>
      <c r="B85" s="146" t="s">
        <v>209</v>
      </c>
      <c r="C85" s="146" t="s">
        <v>210</v>
      </c>
      <c r="D85" s="148" t="s">
        <v>400</v>
      </c>
      <c r="E85" s="150">
        <v>0.87028793739318155</v>
      </c>
      <c r="F85" s="148"/>
      <c r="G85" s="148"/>
    </row>
    <row r="86" spans="1:7" s="89" customFormat="1" x14ac:dyDescent="0.45">
      <c r="A86" s="146" t="s">
        <v>12</v>
      </c>
      <c r="B86" s="146" t="s">
        <v>284</v>
      </c>
      <c r="C86" s="146" t="s">
        <v>286</v>
      </c>
      <c r="D86" s="148" t="s">
        <v>404</v>
      </c>
      <c r="E86" s="150">
        <v>0.87029021173329335</v>
      </c>
      <c r="F86" s="148"/>
      <c r="G86" s="148"/>
    </row>
    <row r="87" spans="1:7" s="89" customFormat="1" x14ac:dyDescent="0.45">
      <c r="A87" s="146" t="s">
        <v>12</v>
      </c>
      <c r="B87" s="146" t="s">
        <v>212</v>
      </c>
      <c r="C87" s="146" t="s">
        <v>211</v>
      </c>
      <c r="D87" s="148" t="s">
        <v>401</v>
      </c>
      <c r="E87" s="150">
        <v>0.87029021198264156</v>
      </c>
      <c r="F87" s="148"/>
      <c r="G87" s="148"/>
    </row>
    <row r="88" spans="1:7" s="89" customFormat="1" x14ac:dyDescent="0.45">
      <c r="A88" s="146" t="s">
        <v>12</v>
      </c>
      <c r="B88" s="146" t="s">
        <v>162</v>
      </c>
      <c r="C88" s="146" t="s">
        <v>163</v>
      </c>
      <c r="D88" s="148" t="s">
        <v>402</v>
      </c>
      <c r="E88" s="150">
        <v>0.87028874696410907</v>
      </c>
      <c r="F88" s="148"/>
      <c r="G88" s="148"/>
    </row>
    <row r="89" spans="1:7" s="89" customFormat="1" x14ac:dyDescent="0.45">
      <c r="A89" s="146" t="s">
        <v>12</v>
      </c>
      <c r="B89" s="148" t="s">
        <v>318</v>
      </c>
      <c r="C89" s="146" t="s">
        <v>319</v>
      </c>
      <c r="D89" s="148" t="s">
        <v>399</v>
      </c>
      <c r="E89" s="150">
        <v>0.87029021198264167</v>
      </c>
      <c r="F89" s="148"/>
      <c r="G89" s="148"/>
    </row>
    <row r="90" spans="1:7" s="89" customFormat="1" x14ac:dyDescent="0.45">
      <c r="A90" s="146" t="s">
        <v>12</v>
      </c>
      <c r="B90" s="148" t="s">
        <v>320</v>
      </c>
      <c r="C90" s="146" t="s">
        <v>321</v>
      </c>
      <c r="D90" s="148" t="s">
        <v>398</v>
      </c>
      <c r="E90" s="150">
        <v>0.87029021198264167</v>
      </c>
      <c r="F90" s="148"/>
      <c r="G90" s="148"/>
    </row>
    <row r="91" spans="1:7" s="89" customFormat="1" x14ac:dyDescent="0.45">
      <c r="A91" s="146" t="s">
        <v>12</v>
      </c>
      <c r="B91" s="146" t="s">
        <v>93</v>
      </c>
      <c r="C91" s="146" t="s">
        <v>161</v>
      </c>
      <c r="D91" s="148" t="s">
        <v>403</v>
      </c>
      <c r="E91" s="150">
        <v>0.87028874696410896</v>
      </c>
      <c r="F91" s="148"/>
      <c r="G91" s="148"/>
    </row>
    <row r="92" spans="1:7" s="89" customFormat="1" x14ac:dyDescent="0.45">
      <c r="A92" s="146" t="s">
        <v>51</v>
      </c>
      <c r="B92" s="146" t="s">
        <v>213</v>
      </c>
      <c r="C92" s="146" t="s">
        <v>214</v>
      </c>
      <c r="D92" s="148" t="s">
        <v>405</v>
      </c>
      <c r="E92" s="150">
        <v>5.7679251439999993E-5</v>
      </c>
      <c r="F92" s="148"/>
      <c r="G92" s="148"/>
    </row>
    <row r="93" spans="1:7" s="89" customFormat="1" x14ac:dyDescent="0.45">
      <c r="A93" s="146" t="s">
        <v>51</v>
      </c>
      <c r="B93" s="146" t="s">
        <v>98</v>
      </c>
      <c r="C93" s="146" t="s">
        <v>99</v>
      </c>
      <c r="D93" s="148" t="s">
        <v>406</v>
      </c>
      <c r="E93" s="150">
        <v>5.7680000000000003E-5</v>
      </c>
      <c r="F93" s="148"/>
      <c r="G93" s="148"/>
    </row>
    <row r="94" spans="1:7" s="89" customFormat="1" x14ac:dyDescent="0.45">
      <c r="A94" s="146" t="s">
        <v>51</v>
      </c>
      <c r="B94" s="146" t="s">
        <v>100</v>
      </c>
      <c r="C94" s="146" t="s">
        <v>101</v>
      </c>
      <c r="D94" s="148" t="s">
        <v>407</v>
      </c>
      <c r="E94" s="150">
        <v>5.7679999999999841E-5</v>
      </c>
      <c r="F94" s="148"/>
      <c r="G94" s="148"/>
    </row>
    <row r="95" spans="1:7" s="89" customFormat="1" x14ac:dyDescent="0.45">
      <c r="A95" s="146" t="s">
        <v>3</v>
      </c>
      <c r="B95" s="146" t="s">
        <v>263</v>
      </c>
      <c r="C95" s="146" t="s">
        <v>264</v>
      </c>
      <c r="D95" s="148" t="s">
        <v>409</v>
      </c>
      <c r="E95" s="150">
        <v>4.4467999975048315E-4</v>
      </c>
      <c r="F95" s="148"/>
      <c r="G95" s="148"/>
    </row>
    <row r="96" spans="1:7" s="89" customFormat="1" x14ac:dyDescent="0.45">
      <c r="A96" s="146" t="s">
        <v>3</v>
      </c>
      <c r="B96" s="148" t="s">
        <v>316</v>
      </c>
      <c r="C96" s="146" t="s">
        <v>317</v>
      </c>
      <c r="D96" s="148" t="s">
        <v>408</v>
      </c>
      <c r="E96" s="150">
        <v>4.4467882898640003E-4</v>
      </c>
      <c r="F96" s="148"/>
      <c r="G96" s="148"/>
    </row>
    <row r="97" spans="1:7" s="89" customFormat="1" x14ac:dyDescent="0.45">
      <c r="A97" s="146" t="s">
        <v>3</v>
      </c>
      <c r="B97" s="146" t="s">
        <v>216</v>
      </c>
      <c r="C97" s="146" t="s">
        <v>215</v>
      </c>
      <c r="D97" s="148" t="s">
        <v>410</v>
      </c>
      <c r="E97" s="150">
        <v>4.4467884115947768E-4</v>
      </c>
      <c r="F97" s="148"/>
      <c r="G97" s="148"/>
    </row>
    <row r="98" spans="1:7" s="89" customFormat="1" x14ac:dyDescent="0.45">
      <c r="A98" s="146" t="s">
        <v>3</v>
      </c>
      <c r="B98" s="146" t="s">
        <v>89</v>
      </c>
      <c r="C98" s="146" t="s">
        <v>137</v>
      </c>
      <c r="D98" s="148" t="s">
        <v>411</v>
      </c>
      <c r="E98" s="150">
        <v>4.4467999999999992E-4</v>
      </c>
      <c r="F98" s="148"/>
      <c r="G98" s="148"/>
    </row>
    <row r="99" spans="1:7" s="89" customFormat="1" x14ac:dyDescent="0.45">
      <c r="A99" s="146" t="s">
        <v>3</v>
      </c>
      <c r="B99" s="146" t="s">
        <v>218</v>
      </c>
      <c r="C99" s="146" t="s">
        <v>217</v>
      </c>
      <c r="D99" s="148" t="s">
        <v>412</v>
      </c>
      <c r="E99" s="150">
        <v>4.4467925143999997E-4</v>
      </c>
      <c r="F99" s="148"/>
      <c r="G99" s="148"/>
    </row>
    <row r="100" spans="1:7" s="89" customFormat="1" x14ac:dyDescent="0.45">
      <c r="A100" s="146" t="s">
        <v>3</v>
      </c>
      <c r="B100" s="146" t="s">
        <v>138</v>
      </c>
      <c r="C100" s="146" t="s">
        <v>139</v>
      </c>
      <c r="D100" s="148" t="s">
        <v>413</v>
      </c>
      <c r="E100" s="150">
        <v>4.4467924734348962E-4</v>
      </c>
      <c r="F100" s="148"/>
      <c r="G100" s="148"/>
    </row>
    <row r="101" spans="1:7" s="89" customFormat="1" x14ac:dyDescent="0.45">
      <c r="A101" s="146" t="s">
        <v>2</v>
      </c>
      <c r="B101" s="146" t="s">
        <v>88</v>
      </c>
      <c r="C101" s="146" t="s">
        <v>134</v>
      </c>
      <c r="D101" s="148" t="s">
        <v>415</v>
      </c>
      <c r="E101" s="150">
        <v>8.1132075471698111E-4</v>
      </c>
      <c r="F101" s="148"/>
      <c r="G101" s="148"/>
    </row>
    <row r="102" spans="1:7" s="89" customFormat="1" x14ac:dyDescent="0.45">
      <c r="A102" s="146" t="s">
        <v>2</v>
      </c>
      <c r="B102" s="148" t="s">
        <v>315</v>
      </c>
      <c r="C102" s="146" t="s">
        <v>134</v>
      </c>
      <c r="D102" s="148" t="s">
        <v>414</v>
      </c>
      <c r="E102" s="150">
        <v>8.1132075471698111E-4</v>
      </c>
      <c r="F102" s="148"/>
      <c r="G102" s="148"/>
    </row>
    <row r="103" spans="1:7" s="89" customFormat="1" x14ac:dyDescent="0.45">
      <c r="A103" s="146" t="s">
        <v>2</v>
      </c>
      <c r="B103" s="146" t="s">
        <v>219</v>
      </c>
      <c r="C103" s="146" t="s">
        <v>220</v>
      </c>
      <c r="D103" s="148" t="s">
        <v>416</v>
      </c>
      <c r="E103" s="150">
        <v>8.1132211431353494E-4</v>
      </c>
      <c r="F103" s="148"/>
      <c r="G103" s="148"/>
    </row>
    <row r="104" spans="1:7" s="89" customFormat="1" x14ac:dyDescent="0.45">
      <c r="A104" s="146" t="s">
        <v>2</v>
      </c>
      <c r="B104" s="146" t="s">
        <v>135</v>
      </c>
      <c r="C104" s="146" t="s">
        <v>136</v>
      </c>
      <c r="D104" s="148" t="s">
        <v>417</v>
      </c>
      <c r="E104" s="150">
        <v>8.1131999999999992E-4</v>
      </c>
      <c r="F104" s="148"/>
      <c r="G104" s="148"/>
    </row>
    <row r="105" spans="1:7" s="89" customFormat="1" x14ac:dyDescent="0.45">
      <c r="A105" s="146" t="s">
        <v>2</v>
      </c>
      <c r="B105" s="146" t="s">
        <v>221</v>
      </c>
      <c r="C105" s="146" t="s">
        <v>217</v>
      </c>
      <c r="D105" s="148" t="s">
        <v>418</v>
      </c>
      <c r="E105" s="150">
        <v>8.1132074856000004E-4</v>
      </c>
      <c r="F105" s="148"/>
      <c r="G105" s="148"/>
    </row>
    <row r="106" spans="1:7" s="89" customFormat="1" x14ac:dyDescent="0.45">
      <c r="A106" s="146" t="s">
        <v>16</v>
      </c>
      <c r="B106" s="146" t="s">
        <v>124</v>
      </c>
      <c r="C106" s="146" t="s">
        <v>125</v>
      </c>
      <c r="D106" s="148" t="s">
        <v>420</v>
      </c>
      <c r="E106" s="150">
        <v>1.2560000003598586E-3</v>
      </c>
      <c r="F106" s="148"/>
      <c r="G106" s="148"/>
    </row>
    <row r="107" spans="1:7" s="89" customFormat="1" x14ac:dyDescent="0.45">
      <c r="A107" s="146" t="s">
        <v>16</v>
      </c>
      <c r="B107" s="146" t="s">
        <v>223</v>
      </c>
      <c r="C107" s="146" t="s">
        <v>222</v>
      </c>
      <c r="D107" s="148" t="s">
        <v>421</v>
      </c>
      <c r="E107" s="150">
        <v>1.2559999997504832E-3</v>
      </c>
      <c r="F107" s="148"/>
      <c r="G107" s="148"/>
    </row>
    <row r="108" spans="1:7" s="89" customFormat="1" x14ac:dyDescent="0.45">
      <c r="A108" s="146" t="s">
        <v>16</v>
      </c>
      <c r="B108" s="148" t="s">
        <v>279</v>
      </c>
      <c r="C108" s="146" t="s">
        <v>280</v>
      </c>
      <c r="D108" s="148" t="s">
        <v>425</v>
      </c>
      <c r="E108" s="150">
        <v>1.2559999997504832E-3</v>
      </c>
      <c r="F108" s="148"/>
      <c r="G108" s="148"/>
    </row>
    <row r="109" spans="1:7" s="89" customFormat="1" x14ac:dyDescent="0.45">
      <c r="A109" s="146" t="s">
        <v>16</v>
      </c>
      <c r="B109" s="146" t="s">
        <v>224</v>
      </c>
      <c r="C109" s="146" t="s">
        <v>220</v>
      </c>
      <c r="D109" s="148" t="s">
        <v>422</v>
      </c>
      <c r="E109" s="150">
        <v>1.256002114313535E-3</v>
      </c>
      <c r="F109" s="148"/>
      <c r="G109" s="148"/>
    </row>
    <row r="110" spans="1:7" s="89" customFormat="1" x14ac:dyDescent="0.45">
      <c r="A110" s="146" t="s">
        <v>16</v>
      </c>
      <c r="B110" s="146" t="s">
        <v>226</v>
      </c>
      <c r="C110" s="146" t="s">
        <v>225</v>
      </c>
      <c r="D110" s="148" t="s">
        <v>423</v>
      </c>
      <c r="E110" s="150">
        <v>1.2559988411594777E-3</v>
      </c>
      <c r="F110" s="148"/>
      <c r="G110" s="148"/>
    </row>
    <row r="111" spans="1:7" s="89" customFormat="1" x14ac:dyDescent="0.45">
      <c r="A111" s="146" t="s">
        <v>16</v>
      </c>
      <c r="B111" s="146" t="s">
        <v>122</v>
      </c>
      <c r="C111" s="146" t="s">
        <v>123</v>
      </c>
      <c r="D111" s="148" t="s">
        <v>424</v>
      </c>
      <c r="E111" s="150">
        <v>1.256E-3</v>
      </c>
      <c r="F111" s="148"/>
      <c r="G111" s="148"/>
    </row>
    <row r="112" spans="1:7" s="89" customFormat="1" x14ac:dyDescent="0.45">
      <c r="A112" s="146" t="s">
        <v>16</v>
      </c>
      <c r="B112" s="148" t="s">
        <v>313</v>
      </c>
      <c r="C112" s="148" t="s">
        <v>314</v>
      </c>
      <c r="D112" s="148" t="s">
        <v>419</v>
      </c>
      <c r="E112" s="150">
        <v>1.2559999884293746E-3</v>
      </c>
      <c r="F112" s="148"/>
      <c r="G112" s="148"/>
    </row>
    <row r="113" spans="1:7" s="89" customFormat="1" x14ac:dyDescent="0.45">
      <c r="A113" s="146" t="s">
        <v>5</v>
      </c>
      <c r="B113" s="146" t="s">
        <v>90</v>
      </c>
      <c r="C113" s="146" t="s">
        <v>140</v>
      </c>
      <c r="D113" s="148" t="s">
        <v>427</v>
      </c>
      <c r="E113" s="150">
        <v>3.8700000000000008E-4</v>
      </c>
      <c r="F113" s="148"/>
      <c r="G113" s="148"/>
    </row>
    <row r="114" spans="1:7" s="89" customFormat="1" x14ac:dyDescent="0.45">
      <c r="A114" s="146" t="s">
        <v>5</v>
      </c>
      <c r="B114" s="146" t="s">
        <v>143</v>
      </c>
      <c r="C114" s="146" t="s">
        <v>144</v>
      </c>
      <c r="D114" s="148" t="s">
        <v>428</v>
      </c>
      <c r="E114" s="150">
        <v>3.8700000000000003E-4</v>
      </c>
      <c r="F114" s="148"/>
      <c r="G114" s="148"/>
    </row>
    <row r="115" spans="1:7" s="89" customFormat="1" x14ac:dyDescent="0.45">
      <c r="A115" s="146" t="s">
        <v>5</v>
      </c>
      <c r="B115" s="146" t="s">
        <v>266</v>
      </c>
      <c r="C115" s="146" t="s">
        <v>265</v>
      </c>
      <c r="D115" s="148" t="s">
        <v>429</v>
      </c>
      <c r="E115" s="150">
        <v>3.8700000356515287E-4</v>
      </c>
      <c r="F115" s="148"/>
      <c r="G115" s="148"/>
    </row>
    <row r="116" spans="1:7" s="89" customFormat="1" x14ac:dyDescent="0.45">
      <c r="A116" s="146" t="s">
        <v>5</v>
      </c>
      <c r="B116" s="146" t="s">
        <v>141</v>
      </c>
      <c r="C116" s="146" t="s">
        <v>142</v>
      </c>
      <c r="D116" s="148" t="s">
        <v>430</v>
      </c>
      <c r="E116" s="150">
        <v>3.8700065502959998E-4</v>
      </c>
      <c r="F116" s="148"/>
      <c r="G116" s="148"/>
    </row>
    <row r="117" spans="1:7" s="89" customFormat="1" x14ac:dyDescent="0.45">
      <c r="A117" s="146" t="s">
        <v>5</v>
      </c>
      <c r="B117" s="148" t="s">
        <v>310</v>
      </c>
      <c r="C117" s="148" t="s">
        <v>312</v>
      </c>
      <c r="D117" s="148" t="s">
        <v>426</v>
      </c>
      <c r="E117" s="150">
        <v>3.8699964E-4</v>
      </c>
      <c r="F117" s="148"/>
      <c r="G117" s="148"/>
    </row>
    <row r="118" spans="1:7" s="89" customFormat="1" x14ac:dyDescent="0.45">
      <c r="A118" s="146" t="s">
        <v>5</v>
      </c>
      <c r="B118" s="146" t="s">
        <v>229</v>
      </c>
      <c r="C118" s="146" t="s">
        <v>230</v>
      </c>
      <c r="D118" s="148" t="s">
        <v>431</v>
      </c>
      <c r="E118" s="150">
        <v>3.8700000356515287E-4</v>
      </c>
      <c r="F118" s="148"/>
      <c r="G118" s="148"/>
    </row>
    <row r="119" spans="1:7" s="89" customFormat="1" x14ac:dyDescent="0.45">
      <c r="A119" s="146" t="s">
        <v>182</v>
      </c>
      <c r="B119" s="146" t="s">
        <v>91</v>
      </c>
      <c r="C119" s="146" t="s">
        <v>150</v>
      </c>
      <c r="D119" s="148" t="s">
        <v>433</v>
      </c>
      <c r="E119" s="150">
        <v>0.18000000000000005</v>
      </c>
      <c r="F119" s="148"/>
      <c r="G119" s="148"/>
    </row>
    <row r="120" spans="1:7" s="89" customFormat="1" x14ac:dyDescent="0.45">
      <c r="A120" s="146" t="s">
        <v>182</v>
      </c>
      <c r="B120" s="146" t="s">
        <v>228</v>
      </c>
      <c r="C120" s="146" t="s">
        <v>227</v>
      </c>
      <c r="D120" s="148" t="s">
        <v>434</v>
      </c>
      <c r="E120" s="150">
        <v>0.1800000005725024</v>
      </c>
      <c r="F120" s="148"/>
      <c r="G120" s="148"/>
    </row>
    <row r="121" spans="1:7" s="89" customFormat="1" x14ac:dyDescent="0.45">
      <c r="A121" s="146" t="s">
        <v>182</v>
      </c>
      <c r="B121" s="146" t="s">
        <v>151</v>
      </c>
      <c r="C121" s="146" t="s">
        <v>152</v>
      </c>
      <c r="D121" s="148" t="s">
        <v>435</v>
      </c>
      <c r="E121" s="150">
        <v>0.18</v>
      </c>
      <c r="F121" s="148"/>
      <c r="G121" s="148"/>
    </row>
    <row r="122" spans="1:7" s="89" customFormat="1" x14ac:dyDescent="0.45">
      <c r="A122" s="146" t="s">
        <v>182</v>
      </c>
      <c r="B122" s="148" t="s">
        <v>276</v>
      </c>
      <c r="C122" s="146" t="s">
        <v>275</v>
      </c>
      <c r="D122" s="148" t="s">
        <v>436</v>
      </c>
      <c r="E122" s="150">
        <v>0.17999999931161581</v>
      </c>
      <c r="F122" s="148"/>
      <c r="G122" s="148"/>
    </row>
    <row r="123" spans="1:7" s="89" customFormat="1" x14ac:dyDescent="0.45">
      <c r="A123" s="146" t="s">
        <v>182</v>
      </c>
      <c r="B123" s="148" t="s">
        <v>309</v>
      </c>
      <c r="C123" s="148" t="s">
        <v>311</v>
      </c>
      <c r="D123" s="148" t="s">
        <v>432</v>
      </c>
      <c r="E123" s="150">
        <v>0.18000016744201619</v>
      </c>
      <c r="F123" s="148"/>
      <c r="G123" s="148"/>
    </row>
    <row r="124" spans="1:7" s="89" customFormat="1" x14ac:dyDescent="0.45">
      <c r="A124" s="146" t="s">
        <v>182</v>
      </c>
      <c r="B124" s="148" t="s">
        <v>277</v>
      </c>
      <c r="C124" s="146" t="s">
        <v>278</v>
      </c>
      <c r="D124" s="148" t="s">
        <v>437</v>
      </c>
      <c r="E124" s="150">
        <v>0.18000016744201619</v>
      </c>
      <c r="F124" s="148"/>
      <c r="G124" s="148"/>
    </row>
    <row r="125" spans="1:7" s="89" customFormat="1" x14ac:dyDescent="0.45">
      <c r="A125" s="146" t="s">
        <v>181</v>
      </c>
      <c r="B125" s="148" t="s">
        <v>307</v>
      </c>
      <c r="C125" s="148" t="s">
        <v>147</v>
      </c>
      <c r="D125" s="148" t="s">
        <v>441</v>
      </c>
      <c r="E125" s="150">
        <v>20.199044585987263</v>
      </c>
      <c r="F125" s="148"/>
      <c r="G125" s="148"/>
    </row>
    <row r="126" spans="1:7" s="89" customFormat="1" x14ac:dyDescent="0.45">
      <c r="A126" s="146" t="s">
        <v>181</v>
      </c>
      <c r="B126" s="146" t="s">
        <v>146</v>
      </c>
      <c r="C126" s="146" t="s">
        <v>147</v>
      </c>
      <c r="D126" s="148" t="s">
        <v>442</v>
      </c>
      <c r="E126" s="150">
        <v>20.199044585987263</v>
      </c>
      <c r="F126" s="148"/>
      <c r="G126" s="148"/>
    </row>
    <row r="127" spans="1:7" s="89" customFormat="1" x14ac:dyDescent="0.45">
      <c r="A127" s="146" t="s">
        <v>181</v>
      </c>
      <c r="B127" s="146" t="s">
        <v>148</v>
      </c>
      <c r="C127" s="146" t="s">
        <v>149</v>
      </c>
      <c r="D127" s="148" t="s">
        <v>443</v>
      </c>
      <c r="E127" s="150">
        <v>20.199028662420382</v>
      </c>
      <c r="F127" s="148"/>
      <c r="G127" s="148"/>
    </row>
    <row r="128" spans="1:7" s="89" customFormat="1" x14ac:dyDescent="0.45">
      <c r="A128" s="146" t="s">
        <v>181</v>
      </c>
      <c r="B128" s="146" t="s">
        <v>95</v>
      </c>
      <c r="C128" s="146" t="s">
        <v>145</v>
      </c>
      <c r="D128" s="148" t="s">
        <v>444</v>
      </c>
      <c r="E128" s="150">
        <v>20.199044585987263</v>
      </c>
      <c r="F128" s="148"/>
      <c r="G128" s="148"/>
    </row>
    <row r="129" spans="1:7" s="89" customFormat="1" x14ac:dyDescent="0.45">
      <c r="A129" s="146" t="s">
        <v>181</v>
      </c>
      <c r="B129" s="146" t="s">
        <v>231</v>
      </c>
      <c r="C129" s="146" t="s">
        <v>232</v>
      </c>
      <c r="D129" s="148" t="s">
        <v>438</v>
      </c>
      <c r="E129" s="150">
        <v>20.199044609467776</v>
      </c>
      <c r="F129" s="148"/>
      <c r="G129" s="148"/>
    </row>
    <row r="130" spans="1:7" s="89" customFormat="1" x14ac:dyDescent="0.45">
      <c r="A130" s="146" t="s">
        <v>181</v>
      </c>
      <c r="B130" s="146" t="s">
        <v>234</v>
      </c>
      <c r="C130" s="146" t="s">
        <v>233</v>
      </c>
      <c r="D130" s="148" t="s">
        <v>439</v>
      </c>
      <c r="E130" s="150">
        <v>20.19904456946778</v>
      </c>
      <c r="F130" s="148"/>
      <c r="G130" s="148"/>
    </row>
    <row r="131" spans="1:7" s="89" customFormat="1" x14ac:dyDescent="0.45">
      <c r="A131" s="146" t="s">
        <v>181</v>
      </c>
      <c r="B131" s="148" t="s">
        <v>306</v>
      </c>
      <c r="C131" s="148" t="s">
        <v>308</v>
      </c>
      <c r="D131" s="148" t="s">
        <v>440</v>
      </c>
      <c r="E131" s="150">
        <v>20.19904456946778</v>
      </c>
      <c r="F131" s="148"/>
      <c r="G131" s="148"/>
    </row>
    <row r="132" spans="1:7" s="89" customFormat="1" x14ac:dyDescent="0.45">
      <c r="A132" s="146" t="s">
        <v>19</v>
      </c>
      <c r="B132" s="146" t="s">
        <v>271</v>
      </c>
      <c r="C132" s="146" t="s">
        <v>272</v>
      </c>
      <c r="D132" s="148" t="s">
        <v>450</v>
      </c>
      <c r="E132" s="150">
        <v>17.117834264999999</v>
      </c>
      <c r="F132" s="148"/>
      <c r="G132" s="148"/>
    </row>
    <row r="133" spans="1:7" s="89" customFormat="1" x14ac:dyDescent="0.45">
      <c r="A133" s="146" t="s">
        <v>19</v>
      </c>
      <c r="B133" s="146" t="s">
        <v>165</v>
      </c>
      <c r="C133" s="146" t="s">
        <v>166</v>
      </c>
      <c r="D133" s="148" t="s">
        <v>446</v>
      </c>
      <c r="E133" s="150">
        <v>17.117834394904456</v>
      </c>
      <c r="F133" s="148"/>
      <c r="G133" s="148"/>
    </row>
    <row r="134" spans="1:7" s="89" customFormat="1" x14ac:dyDescent="0.45">
      <c r="A134" s="146" t="s">
        <v>19</v>
      </c>
      <c r="B134" s="146" t="s">
        <v>167</v>
      </c>
      <c r="C134" s="146" t="s">
        <v>168</v>
      </c>
      <c r="D134" s="148" t="s">
        <v>447</v>
      </c>
      <c r="E134" s="150">
        <v>17.117818471337582</v>
      </c>
      <c r="F134" s="148"/>
      <c r="G134" s="148"/>
    </row>
    <row r="135" spans="1:7" s="89" customFormat="1" x14ac:dyDescent="0.45">
      <c r="A135" s="146" t="s">
        <v>19</v>
      </c>
      <c r="B135" s="146" t="s">
        <v>96</v>
      </c>
      <c r="C135" s="146" t="s">
        <v>164</v>
      </c>
      <c r="D135" s="148" t="s">
        <v>448</v>
      </c>
      <c r="E135" s="150">
        <v>17.117834394904456</v>
      </c>
      <c r="F135" s="148"/>
      <c r="G135" s="148"/>
    </row>
    <row r="136" spans="1:7" s="89" customFormat="1" x14ac:dyDescent="0.45">
      <c r="A136" s="146" t="s">
        <v>19</v>
      </c>
      <c r="B136" s="146" t="s">
        <v>235</v>
      </c>
      <c r="C136" s="146" t="s">
        <v>236</v>
      </c>
      <c r="D136" s="148" t="s">
        <v>449</v>
      </c>
      <c r="E136" s="150">
        <v>17.117834350000003</v>
      </c>
      <c r="F136" s="148"/>
      <c r="G136" s="148"/>
    </row>
    <row r="137" spans="1:7" s="89" customFormat="1" x14ac:dyDescent="0.45">
      <c r="A137" s="146" t="s">
        <v>19</v>
      </c>
      <c r="B137" s="100" t="s">
        <v>302</v>
      </c>
      <c r="C137" s="146" t="s">
        <v>303</v>
      </c>
      <c r="D137" s="148" t="s">
        <v>445</v>
      </c>
      <c r="E137" s="150">
        <v>17.117834430905191</v>
      </c>
      <c r="F137" s="148"/>
      <c r="G137" s="148"/>
    </row>
    <row r="138" spans="1:7" s="89" customFormat="1" x14ac:dyDescent="0.45">
      <c r="A138" s="146" t="s">
        <v>20</v>
      </c>
      <c r="B138" s="100" t="s">
        <v>300</v>
      </c>
      <c r="C138" s="146" t="s">
        <v>305</v>
      </c>
      <c r="D138" s="148" t="s">
        <v>455</v>
      </c>
      <c r="E138" s="150">
        <v>20.658274164999998</v>
      </c>
      <c r="F138" s="148"/>
      <c r="G138" s="148"/>
    </row>
    <row r="139" spans="1:7" s="89" customFormat="1" x14ac:dyDescent="0.45">
      <c r="A139" s="146" t="s">
        <v>20</v>
      </c>
      <c r="B139" s="146" t="s">
        <v>274</v>
      </c>
      <c r="C139" s="146" t="s">
        <v>273</v>
      </c>
      <c r="D139" s="148" t="s">
        <v>454</v>
      </c>
      <c r="E139" s="150">
        <v>20.658274289999998</v>
      </c>
      <c r="F139" s="148"/>
      <c r="G139" s="148"/>
    </row>
    <row r="140" spans="1:7" s="89" customFormat="1" x14ac:dyDescent="0.45">
      <c r="A140" s="146" t="s">
        <v>20</v>
      </c>
      <c r="B140" s="146" t="s">
        <v>171</v>
      </c>
      <c r="C140" s="146" t="s">
        <v>172</v>
      </c>
      <c r="D140" s="148" t="s">
        <v>451</v>
      </c>
      <c r="E140" s="150">
        <v>20.658280249872611</v>
      </c>
      <c r="F140" s="148"/>
      <c r="G140" s="148"/>
    </row>
    <row r="141" spans="1:7" s="89" customFormat="1" x14ac:dyDescent="0.45">
      <c r="A141" s="146" t="s">
        <v>20</v>
      </c>
      <c r="B141" s="146" t="s">
        <v>169</v>
      </c>
      <c r="C141" s="146" t="s">
        <v>170</v>
      </c>
      <c r="D141" s="148" t="s">
        <v>452</v>
      </c>
      <c r="E141" s="150">
        <v>20.658280249872611</v>
      </c>
      <c r="F141" s="148"/>
      <c r="G141" s="148"/>
    </row>
    <row r="142" spans="1:7" s="89" customFormat="1" x14ac:dyDescent="0.45">
      <c r="A142" s="146" t="s">
        <v>20</v>
      </c>
      <c r="B142" s="146" t="s">
        <v>238</v>
      </c>
      <c r="C142" s="146" t="s">
        <v>237</v>
      </c>
      <c r="D142" s="148" t="s">
        <v>453</v>
      </c>
      <c r="E142" s="150">
        <v>20.658274289999998</v>
      </c>
      <c r="F142" s="148"/>
      <c r="G142" s="148"/>
    </row>
    <row r="143" spans="1:7" s="89" customFormat="1" x14ac:dyDescent="0.45">
      <c r="A143" s="146" t="s">
        <v>20</v>
      </c>
      <c r="B143" s="100" t="s">
        <v>301</v>
      </c>
      <c r="C143" s="146" t="s">
        <v>304</v>
      </c>
      <c r="D143" s="148" t="s">
        <v>456</v>
      </c>
      <c r="E143" s="150">
        <v>20.658274165000002</v>
      </c>
      <c r="F143" s="148"/>
      <c r="G143" s="148"/>
    </row>
    <row r="144" spans="1:7" s="89" customFormat="1" x14ac:dyDescent="0.45">
      <c r="A144" s="146" t="s">
        <v>21</v>
      </c>
      <c r="B144" s="146" t="s">
        <v>118</v>
      </c>
      <c r="C144" s="146" t="s">
        <v>119</v>
      </c>
      <c r="D144" s="148" t="s">
        <v>457</v>
      </c>
      <c r="E144" s="150">
        <v>26.500024651185718</v>
      </c>
      <c r="F144" s="148"/>
      <c r="G144" s="148"/>
    </row>
    <row r="145" spans="1:7" s="89" customFormat="1" x14ac:dyDescent="0.45">
      <c r="A145" s="146" t="s">
        <v>21</v>
      </c>
      <c r="B145" s="100" t="s">
        <v>291</v>
      </c>
      <c r="C145" s="146" t="s">
        <v>296</v>
      </c>
      <c r="D145" s="148" t="s">
        <v>463</v>
      </c>
      <c r="E145" s="150">
        <v>26.500000201104186</v>
      </c>
      <c r="F145" s="148"/>
      <c r="G145" s="148"/>
    </row>
    <row r="146" spans="1:7" s="89" customFormat="1" x14ac:dyDescent="0.45">
      <c r="A146" s="146" t="s">
        <v>21</v>
      </c>
      <c r="B146" s="146" t="s">
        <v>120</v>
      </c>
      <c r="C146" s="146" t="s">
        <v>121</v>
      </c>
      <c r="D146" s="148" t="s">
        <v>458</v>
      </c>
      <c r="E146" s="150">
        <v>26.500024643593154</v>
      </c>
      <c r="F146" s="148"/>
      <c r="G146" s="148"/>
    </row>
    <row r="147" spans="1:7" s="89" customFormat="1" x14ac:dyDescent="0.45">
      <c r="A147" s="146" t="s">
        <v>21</v>
      </c>
      <c r="B147" s="146" t="s">
        <v>260</v>
      </c>
      <c r="C147" s="146" t="s">
        <v>236</v>
      </c>
      <c r="D147" s="148" t="s">
        <v>459</v>
      </c>
      <c r="E147" s="150">
        <v>26.50000013158791</v>
      </c>
      <c r="F147" s="148"/>
      <c r="G147" s="148"/>
    </row>
    <row r="148" spans="1:7" s="89" customFormat="1" x14ac:dyDescent="0.45">
      <c r="A148" s="146" t="s">
        <v>21</v>
      </c>
      <c r="B148" s="100" t="s">
        <v>293</v>
      </c>
      <c r="C148" s="146" t="s">
        <v>297</v>
      </c>
      <c r="D148" s="148" t="s">
        <v>465</v>
      </c>
      <c r="E148" s="150">
        <v>26.500024651185726</v>
      </c>
      <c r="F148" s="148"/>
      <c r="G148" s="148"/>
    </row>
    <row r="149" spans="1:7" s="89" customFormat="1" x14ac:dyDescent="0.45">
      <c r="A149" s="146" t="s">
        <v>21</v>
      </c>
      <c r="B149" s="100" t="s">
        <v>288</v>
      </c>
      <c r="C149" s="146" t="s">
        <v>294</v>
      </c>
      <c r="D149" s="148" t="s">
        <v>460</v>
      </c>
      <c r="E149" s="150">
        <v>26.499999936674957</v>
      </c>
      <c r="F149" s="148"/>
      <c r="G149" s="148"/>
    </row>
    <row r="150" spans="1:7" s="89" customFormat="1" x14ac:dyDescent="0.45">
      <c r="A150" s="146" t="s">
        <v>21</v>
      </c>
      <c r="B150" s="100" t="s">
        <v>289</v>
      </c>
      <c r="C150" s="146" t="s">
        <v>295</v>
      </c>
      <c r="D150" s="148" t="s">
        <v>461</v>
      </c>
      <c r="E150" s="150">
        <v>26.500000193511625</v>
      </c>
      <c r="F150" s="148"/>
      <c r="G150" s="148"/>
    </row>
    <row r="151" spans="1:7" s="89" customFormat="1" x14ac:dyDescent="0.45">
      <c r="A151" s="146" t="s">
        <v>21</v>
      </c>
      <c r="B151" s="100" t="s">
        <v>290</v>
      </c>
      <c r="C151" s="146" t="s">
        <v>295</v>
      </c>
      <c r="D151" s="148" t="s">
        <v>462</v>
      </c>
      <c r="E151" s="150">
        <v>26.500000193511628</v>
      </c>
      <c r="F151" s="148"/>
      <c r="G151" s="148"/>
    </row>
    <row r="152" spans="1:7" s="89" customFormat="1" x14ac:dyDescent="0.45">
      <c r="A152" s="146" t="s">
        <v>21</v>
      </c>
      <c r="B152" s="100" t="s">
        <v>292</v>
      </c>
      <c r="C152" s="146" t="s">
        <v>294</v>
      </c>
      <c r="D152" s="148" t="s">
        <v>464</v>
      </c>
      <c r="E152" s="150">
        <v>26.499999936674957</v>
      </c>
      <c r="F152" s="148"/>
      <c r="G152" s="148"/>
    </row>
    <row r="153" spans="1:7" s="89" customFormat="1" x14ac:dyDescent="0.45">
      <c r="A153" s="146" t="s">
        <v>18</v>
      </c>
      <c r="B153" s="100" t="s">
        <v>478</v>
      </c>
      <c r="C153" s="146" t="s">
        <v>517</v>
      </c>
      <c r="D153" s="148" t="s">
        <v>479</v>
      </c>
      <c r="E153" s="150">
        <v>10.000000000000004</v>
      </c>
      <c r="F153" s="148"/>
      <c r="G153" s="148"/>
    </row>
    <row r="154" spans="1:7" s="89" customFormat="1" x14ac:dyDescent="0.45">
      <c r="A154" s="146" t="s">
        <v>18</v>
      </c>
      <c r="B154" s="147" t="s">
        <v>476</v>
      </c>
      <c r="C154" s="146" t="s">
        <v>516</v>
      </c>
      <c r="D154" s="148" t="s">
        <v>477</v>
      </c>
      <c r="E154" s="150">
        <v>10.000000000000004</v>
      </c>
      <c r="F154" s="148"/>
      <c r="G154" s="148"/>
    </row>
    <row r="155" spans="1:7" s="89" customFormat="1" x14ac:dyDescent="0.45">
      <c r="A155" s="146" t="s">
        <v>18</v>
      </c>
      <c r="B155" s="100" t="s">
        <v>480</v>
      </c>
      <c r="C155" s="146" t="s">
        <v>515</v>
      </c>
      <c r="D155" s="148" t="s">
        <v>486</v>
      </c>
      <c r="E155" s="150">
        <v>10.000000000000004</v>
      </c>
      <c r="F155" s="148"/>
      <c r="G155" s="148"/>
    </row>
    <row r="156" spans="1:7" s="89" customFormat="1" x14ac:dyDescent="0.45">
      <c r="A156" s="146" t="s">
        <v>18</v>
      </c>
      <c r="B156" s="146" t="s">
        <v>179</v>
      </c>
      <c r="C156" s="146" t="s">
        <v>133</v>
      </c>
      <c r="D156" s="148" t="s">
        <v>466</v>
      </c>
      <c r="E156" s="150">
        <v>10.000000000000004</v>
      </c>
      <c r="F156" s="148"/>
      <c r="G156" s="148"/>
    </row>
    <row r="157" spans="1:7" s="89" customFormat="1" x14ac:dyDescent="0.45">
      <c r="A157" s="146" t="s">
        <v>18</v>
      </c>
      <c r="B157" s="100" t="s">
        <v>484</v>
      </c>
      <c r="C157" s="146" t="s">
        <v>514</v>
      </c>
      <c r="D157" s="148" t="s">
        <v>490</v>
      </c>
      <c r="E157" s="150">
        <v>10</v>
      </c>
      <c r="F157" s="148"/>
      <c r="G157" s="148"/>
    </row>
    <row r="158" spans="1:7" s="89" customFormat="1" x14ac:dyDescent="0.45">
      <c r="A158" s="146" t="s">
        <v>18</v>
      </c>
      <c r="B158" s="146" t="s">
        <v>240</v>
      </c>
      <c r="C158" s="146" t="s">
        <v>239</v>
      </c>
      <c r="D158" s="148" t="s">
        <v>467</v>
      </c>
      <c r="E158" s="150">
        <v>10</v>
      </c>
      <c r="F158" s="148"/>
      <c r="G158" s="148"/>
    </row>
    <row r="159" spans="1:7" s="89" customFormat="1" x14ac:dyDescent="0.45">
      <c r="A159" s="146" t="s">
        <v>18</v>
      </c>
      <c r="B159" s="100" t="s">
        <v>482</v>
      </c>
      <c r="C159" s="146" t="s">
        <v>513</v>
      </c>
      <c r="D159" s="148" t="s">
        <v>488</v>
      </c>
      <c r="E159" s="150">
        <v>9.9999999368177583</v>
      </c>
      <c r="F159" s="148"/>
      <c r="G159" s="148"/>
    </row>
    <row r="160" spans="1:7" s="89" customFormat="1" x14ac:dyDescent="0.45">
      <c r="A160" s="146" t="s">
        <v>18</v>
      </c>
      <c r="B160" s="147" t="s">
        <v>474</v>
      </c>
      <c r="C160" s="146" t="s">
        <v>512</v>
      </c>
      <c r="D160" s="148" t="s">
        <v>475</v>
      </c>
      <c r="E160" s="150">
        <v>9.9999998731670097</v>
      </c>
      <c r="F160" s="148"/>
      <c r="G160" s="148"/>
    </row>
    <row r="161" spans="1:7" s="89" customFormat="1" x14ac:dyDescent="0.45">
      <c r="A161" s="146" t="s">
        <v>18</v>
      </c>
      <c r="B161" s="146" t="s">
        <v>298</v>
      </c>
      <c r="C161" s="148" t="s">
        <v>299</v>
      </c>
      <c r="D161" s="148" t="s">
        <v>469</v>
      </c>
      <c r="E161" s="151">
        <v>9.9999998870196976</v>
      </c>
      <c r="F161" s="148"/>
      <c r="G161" s="148"/>
    </row>
    <row r="162" spans="1:7" s="89" customFormat="1" x14ac:dyDescent="0.45">
      <c r="A162" s="146" t="s">
        <v>18</v>
      </c>
      <c r="B162" s="100" t="s">
        <v>483</v>
      </c>
      <c r="C162" s="146" t="s">
        <v>511</v>
      </c>
      <c r="D162" s="148" t="s">
        <v>489</v>
      </c>
      <c r="E162" s="150">
        <v>10.000000240083164</v>
      </c>
      <c r="F162" s="148"/>
      <c r="G162" s="148"/>
    </row>
    <row r="163" spans="1:7" s="89" customFormat="1" x14ac:dyDescent="0.45">
      <c r="A163" s="146" t="s">
        <v>18</v>
      </c>
      <c r="B163" s="100" t="s">
        <v>481</v>
      </c>
      <c r="C163" s="146" t="s">
        <v>510</v>
      </c>
      <c r="D163" s="148" t="s">
        <v>487</v>
      </c>
      <c r="E163" s="150">
        <v>9.9999999078771893</v>
      </c>
      <c r="F163" s="148"/>
      <c r="G163" s="148"/>
    </row>
    <row r="164" spans="1:7" s="89" customFormat="1" x14ac:dyDescent="0.45">
      <c r="A164" s="146" t="s">
        <v>18</v>
      </c>
      <c r="B164" s="100" t="s">
        <v>485</v>
      </c>
      <c r="C164" s="146" t="s">
        <v>132</v>
      </c>
      <c r="D164" s="148" t="s">
        <v>491</v>
      </c>
      <c r="E164" s="150">
        <v>10.000000000000002</v>
      </c>
      <c r="F164" s="148"/>
      <c r="G164" s="148"/>
    </row>
    <row r="165" spans="1:7" s="89" customFormat="1" x14ac:dyDescent="0.45">
      <c r="A165" s="146" t="s">
        <v>18</v>
      </c>
      <c r="B165" s="146" t="s">
        <v>178</v>
      </c>
      <c r="C165" s="146" t="s">
        <v>132</v>
      </c>
      <c r="D165" s="148" t="s">
        <v>468</v>
      </c>
      <c r="E165" s="150">
        <v>10.000000000000002</v>
      </c>
      <c r="F165" s="148"/>
      <c r="G165" s="148"/>
    </row>
    <row r="166" spans="1:7" x14ac:dyDescent="0.45">
      <c r="A166" s="148"/>
      <c r="B166" s="148"/>
      <c r="C166" s="148"/>
      <c r="D166" s="148"/>
      <c r="E166" s="150"/>
      <c r="F166" s="148"/>
      <c r="G166" s="148"/>
    </row>
    <row r="167" spans="1:7" x14ac:dyDescent="0.45">
      <c r="A167" s="148"/>
      <c r="B167" s="148"/>
      <c r="C167" s="148"/>
      <c r="D167" s="148"/>
      <c r="E167" s="150"/>
      <c r="F167" s="148"/>
      <c r="G167" s="148"/>
    </row>
  </sheetData>
  <sheetProtection selectLockedCells="1"/>
  <mergeCells count="2">
    <mergeCell ref="A1:G3"/>
    <mergeCell ref="D5:F25"/>
  </mergeCells>
  <phoneticPr fontId="14" type="noConversion"/>
  <pageMargins left="0.7" right="0.7" top="0.78740157499999996" bottom="0.78740157499999996"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estFormelnUndBerechnen">
                <anchor moveWithCells="1">
                  <from>
                    <xdr:col>3</xdr:col>
                    <xdr:colOff>390525</xdr:colOff>
                    <xdr:row>23</xdr:row>
                    <xdr:rowOff>47625</xdr:rowOff>
                  </from>
                  <to>
                    <xdr:col>3</xdr:col>
                    <xdr:colOff>1838325</xdr:colOff>
                    <xdr:row>24</xdr:row>
                    <xdr:rowOff>100013</xdr:rowOff>
                  </to>
                </anchor>
              </controlPr>
            </control>
          </mc:Choice>
        </mc:AlternateContent>
        <mc:AlternateContent xmlns:mc="http://schemas.openxmlformats.org/markup-compatibility/2006">
          <mc:Choice Requires="x14">
            <control shapeId="2050" r:id="rId5" name="Button 2">
              <controlPr defaultSize="0" print="0" autoFill="0" autoPict="0" macro="[0]!LeereBerechnungsbereichDE">
                <anchor moveWithCells="1">
                  <from>
                    <xdr:col>3</xdr:col>
                    <xdr:colOff>2105025</xdr:colOff>
                    <xdr:row>23</xdr:row>
                    <xdr:rowOff>38100</xdr:rowOff>
                  </from>
                  <to>
                    <xdr:col>3</xdr:col>
                    <xdr:colOff>2943225</xdr:colOff>
                    <xdr:row>24</xdr:row>
                    <xdr:rowOff>76200</xdr:rowOff>
                  </to>
                </anchor>
              </controlPr>
            </control>
          </mc:Choice>
        </mc:AlternateContent>
      </controls>
    </mc:Choice>
  </mc:AlternateContent>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174052-C48C-459B-B006-37E98A53B089}">
  <sheetPr codeName="Tabelle2"/>
  <dimension ref="A1:A39"/>
  <sheetViews>
    <sheetView workbookViewId="0">
      <selection activeCell="D9" sqref="D9"/>
    </sheetView>
  </sheetViews>
  <sheetFormatPr baseColWidth="10" defaultRowHeight="14.25" x14ac:dyDescent="0.45"/>
  <sheetData>
    <row r="1" spans="1:1" x14ac:dyDescent="0.45">
      <c r="A1" s="84" t="s">
        <v>85</v>
      </c>
    </row>
    <row r="2" spans="1:1" x14ac:dyDescent="0.45">
      <c r="A2" t="s">
        <v>27</v>
      </c>
    </row>
    <row r="3" spans="1:1" x14ac:dyDescent="0.45">
      <c r="A3" t="s">
        <v>43</v>
      </c>
    </row>
    <row r="4" spans="1:1" x14ac:dyDescent="0.45">
      <c r="A4" t="s">
        <v>54</v>
      </c>
    </row>
    <row r="5" spans="1:1" x14ac:dyDescent="0.45">
      <c r="A5" t="s">
        <v>55</v>
      </c>
    </row>
    <row r="6" spans="1:1" x14ac:dyDescent="0.45">
      <c r="A6" t="s">
        <v>56</v>
      </c>
    </row>
    <row r="7" spans="1:1" x14ac:dyDescent="0.45">
      <c r="A7" t="s">
        <v>57</v>
      </c>
    </row>
    <row r="8" spans="1:1" x14ac:dyDescent="0.45">
      <c r="A8" t="s">
        <v>45</v>
      </c>
    </row>
    <row r="9" spans="1:1" x14ac:dyDescent="0.45">
      <c r="A9" t="s">
        <v>60</v>
      </c>
    </row>
    <row r="10" spans="1:1" x14ac:dyDescent="0.45">
      <c r="A10" t="s">
        <v>61</v>
      </c>
    </row>
    <row r="11" spans="1:1" x14ac:dyDescent="0.45">
      <c r="A11" t="s">
        <v>44</v>
      </c>
    </row>
    <row r="12" spans="1:1" x14ac:dyDescent="0.45">
      <c r="A12" t="s">
        <v>58</v>
      </c>
    </row>
    <row r="13" spans="1:1" x14ac:dyDescent="0.45">
      <c r="A13" t="s">
        <v>59</v>
      </c>
    </row>
    <row r="14" spans="1:1" x14ac:dyDescent="0.45">
      <c r="A14" t="s">
        <v>28</v>
      </c>
    </row>
    <row r="15" spans="1:1" x14ac:dyDescent="0.45">
      <c r="A15" t="s">
        <v>62</v>
      </c>
    </row>
    <row r="16" spans="1:1" x14ac:dyDescent="0.45">
      <c r="A16" t="s">
        <v>63</v>
      </c>
    </row>
    <row r="17" spans="1:1" x14ac:dyDescent="0.45">
      <c r="A17" t="s">
        <v>64</v>
      </c>
    </row>
    <row r="18" spans="1:1" x14ac:dyDescent="0.45">
      <c r="A18" t="s">
        <v>65</v>
      </c>
    </row>
    <row r="19" spans="1:1" x14ac:dyDescent="0.45">
      <c r="A19" t="s">
        <v>66</v>
      </c>
    </row>
    <row r="20" spans="1:1" x14ac:dyDescent="0.45">
      <c r="A20" t="s">
        <v>82</v>
      </c>
    </row>
    <row r="21" spans="1:1" x14ac:dyDescent="0.45">
      <c r="A21" t="s">
        <v>78</v>
      </c>
    </row>
    <row r="22" spans="1:1" x14ac:dyDescent="0.45">
      <c r="A22" t="s">
        <v>74</v>
      </c>
    </row>
    <row r="23" spans="1:1" x14ac:dyDescent="0.45">
      <c r="A23" t="s">
        <v>67</v>
      </c>
    </row>
    <row r="24" spans="1:1" x14ac:dyDescent="0.45">
      <c r="A24" t="s">
        <v>81</v>
      </c>
    </row>
    <row r="25" spans="1:1" x14ac:dyDescent="0.45">
      <c r="A25" t="s">
        <v>77</v>
      </c>
    </row>
    <row r="26" spans="1:1" x14ac:dyDescent="0.45">
      <c r="A26" t="s">
        <v>73</v>
      </c>
    </row>
    <row r="27" spans="1:1" x14ac:dyDescent="0.45">
      <c r="A27" t="s">
        <v>29</v>
      </c>
    </row>
    <row r="28" spans="1:1" x14ac:dyDescent="0.45">
      <c r="A28" t="s">
        <v>72</v>
      </c>
    </row>
    <row r="29" spans="1:1" x14ac:dyDescent="0.45">
      <c r="A29" t="s">
        <v>70</v>
      </c>
    </row>
    <row r="30" spans="1:1" x14ac:dyDescent="0.45">
      <c r="A30" t="s">
        <v>84</v>
      </c>
    </row>
    <row r="31" spans="1:1" x14ac:dyDescent="0.45">
      <c r="A31" t="s">
        <v>87</v>
      </c>
    </row>
    <row r="32" spans="1:1" x14ac:dyDescent="0.45">
      <c r="A32" t="s">
        <v>80</v>
      </c>
    </row>
    <row r="33" spans="1:1" x14ac:dyDescent="0.45">
      <c r="A33" t="s">
        <v>76</v>
      </c>
    </row>
    <row r="34" spans="1:1" x14ac:dyDescent="0.45">
      <c r="A34" t="s">
        <v>71</v>
      </c>
    </row>
    <row r="35" spans="1:1" x14ac:dyDescent="0.45">
      <c r="A35" t="s">
        <v>68</v>
      </c>
    </row>
    <row r="36" spans="1:1" x14ac:dyDescent="0.45">
      <c r="A36" t="s">
        <v>83</v>
      </c>
    </row>
    <row r="37" spans="1:1" x14ac:dyDescent="0.45">
      <c r="A37" t="s">
        <v>79</v>
      </c>
    </row>
    <row r="38" spans="1:1" x14ac:dyDescent="0.45">
      <c r="A38" t="s">
        <v>75</v>
      </c>
    </row>
    <row r="39" spans="1:1" x14ac:dyDescent="0.45">
      <c r="A39" t="s">
        <v>69</v>
      </c>
    </row>
  </sheetData>
  <sheetProtection algorithmName="SHA-512" hashValue="w4RCql6ygTroSg9xS2tXuS6qSzWlry6V2qHHv0V7mY8OEC55ux0qnHWqCdXpy7iFSD5w40190MwZKlvaQRqvpA==" saltValue="la6oNDZEXFVPCqONaAHtIw==" spinCount="100000" sheet="1" objects="1" scenarios="1" selectLockedCells="1" selectUnlockedCells="1"/>
  <phoneticPr fontId="14" type="noConversion"/>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AAE27B18-94C4-41FC-AE3B-2EF0E61C240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3</vt:i4>
      </vt:variant>
    </vt:vector>
  </HeadingPairs>
  <TitlesOfParts>
    <vt:vector size="3" baseType="lpstr">
      <vt:lpstr>Bodenberechnungen</vt:lpstr>
      <vt:lpstr>Formeln</vt:lpstr>
      <vt:lpstr>Einheiten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Meile Jeremy</cp:lastModifiedBy>
  <dcterms:created xsi:type="dcterms:W3CDTF">2024-11-21T14:03:03Z</dcterms:created>
  <dcterms:modified xsi:type="dcterms:W3CDTF">2024-12-11T21:48:59Z</dcterms:modified>
</cp:coreProperties>
</file>