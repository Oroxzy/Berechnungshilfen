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GB Grundbau\"/>
    </mc:Choice>
  </mc:AlternateContent>
  <xr:revisionPtr revIDLastSave="0" documentId="13_ncr:1_{23ED6D73-CF56-4E3B-A9C1-863B88172DD1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1" l="1"/>
  <c r="F43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H15" i="1" l="1"/>
  <c r="H16" i="1" l="1"/>
  <c r="H17" i="1" l="1"/>
  <c r="H18" i="1" l="1"/>
  <c r="H19" i="1" l="1"/>
  <c r="N3" i="1" l="1"/>
  <c r="H21" i="1"/>
  <c r="H22" i="1" l="1"/>
  <c r="H23" i="1" l="1"/>
  <c r="H24" i="1" l="1"/>
  <c r="H25" i="1" l="1"/>
  <c r="H26" i="1" l="1"/>
  <c r="D10" i="1"/>
  <c r="O3" i="1" l="1"/>
  <c r="D20" i="1" s="1"/>
  <c r="P3" i="1"/>
  <c r="H42" i="1"/>
  <c r="D64" i="1" a="1"/>
  <c r="D66" i="1" a="1"/>
  <c r="D66" i="1" l="1"/>
  <c r="D64" i="1"/>
  <c r="G43" i="1"/>
  <c r="P2" i="1" s="1"/>
  <c r="R3" i="1"/>
  <c r="B27" i="1" s="1"/>
  <c r="D62" i="1"/>
  <c r="B10" i="1"/>
  <c r="D61" i="1"/>
  <c r="S3" i="1"/>
  <c r="N2" i="1"/>
  <c r="O2" i="1"/>
  <c r="D27" i="1"/>
  <c r="G44" i="1" l="1"/>
  <c r="H44" i="1" s="1"/>
  <c r="S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<sst xmlns="http://schemas.openxmlformats.org/spreadsheetml/2006/main" count="53" uniqueCount="52">
  <si>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</si>
  <si>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</si>
  <si>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</si>
  <si>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</si>
  <si>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</si>
  <si>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</si>
  <si>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</si>
  <si>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</si>
  <si>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</si>
  <si>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</si>
  <si>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</si>
  <si>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</si>
  <si>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</si>
  <si>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</si>
  <si>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</si>
  <si>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</si>
  <si>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</si>
  <si>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</si>
  <si>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</si>
  <si>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</si>
  <si>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</si>
  <si>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</si>
  <si>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</si>
  <si>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</si>
  <si>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</si>
  <si>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</si>
  <si>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</si>
  <si>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</si>
  <si>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</si>
  <si>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</si>
  <si>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</si>
  <si>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</si>
  <si>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</si>
  <si>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</si>
  <si>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</si>
  <si>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</si>
  <si>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</si>
  <si>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</si>
  <si>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</si>
  <si>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</si>
  <si>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</si>
  <si>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</si>
  <si>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</si>
  <si>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</si>
  <si>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</si>
  <si>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</si>
  <si>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</si>
  <si>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</si>
  <si>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4.000 + (60.000 - 64.480) * (2.000 - 4.000) ÷ (53.920 - 64.480) = 3.152</t>
  </si>
  <si>
    <t>0.500 + (30.000 - 33.810) * (0.250 - 0.500) ÷ (19.200 - 33.810) = 0.435</t>
  </si>
  <si>
    <t>0.125 + (10.000 - 10.800) * (0.063 - 0.125) ÷ (6.900 - 10.800) = 0.112</t>
  </si>
  <si>
    <t>Fein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</si>
</sst>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59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5" borderId="16" xfId="0" applyFont="1" applyFill="1" applyBorder="1" applyAlignment="1">
      <alignment horizontal="center" vertical="center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2" borderId="50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1" xfId="0" applyNumberFormat="1" applyFill="1" applyBorder="1"/>
    <xf numFmtId="0" fontId="0" fillId="0" borderId="51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2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3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5" xfId="1" applyFont="1" applyBorder="1" applyAlignment="1" applyProtection="1">
      <alignment horizontal="right" vertical="center"/>
      <protection locked="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2" borderId="57" xfId="1" applyFont="1" applyBorder="1" applyAlignment="1" applyProtection="1">
      <alignment horizontal="right" vertical="center"/>
      <protection locked="0"/>
    </xf>
    <xf numFmtId="2" fontId="1" fillId="3" borderId="58" xfId="2" applyNumberFormat="1" applyFont="1" applyBorder="1" applyAlignment="1" applyProtection="1">
      <alignment horizontal="right" vertical="center"/>
    </xf>
    <xf numFmtId="2" fontId="1" fillId="7" borderId="59" xfId="2" applyNumberFormat="1" applyFont="1" applyFill="1" applyBorder="1" applyAlignment="1" applyProtection="1">
      <alignment horizontal="right" vertical="center"/>
    </xf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60" xfId="0" applyNumberFormat="1" applyFill="1" applyBorder="1"/>
    <xf numFmtId="4" fontId="0" fillId="8" borderId="61" xfId="0" applyNumberFormat="1" applyFill="1" applyBorder="1"/>
    <xf numFmtId="2" fontId="8" fillId="0" borderId="0" xfId="0" applyNumberFormat="1" applyFont="1"/>
    <xf numFmtId="0" fontId="7" fillId="5" borderId="17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0" fillId="6" borderId="63" xfId="1" applyNumberFormat="1" applyFont="1" applyFill="1" applyBorder="1" applyAlignment="1" applyProtection="1">
      <alignment horizontal="right" vertical="center"/>
      <protection locked="0"/>
    </xf>
    <xf numFmtId="2" fontId="1" fillId="7" borderId="62" xfId="2" applyNumberFormat="1" applyFont="1" applyFill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  <xf numFmtId="4" fontId="8" fillId="0" borderId="0" xfId="0" applyNumberFormat="1" applyFont="1"/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6" xfId="1" applyNumberFormat="1" applyFont="1" applyFill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3" fillId="9" borderId="15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0" fillId="8" borderId="17" xfId="0" applyFill="1" applyBorder="1" applyAlignment="1">
      <alignment horizontal="right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1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1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1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0" fontId="8" fillId="0" borderId="17" xfId="0" applyFont="1" applyBorder="1" applyAlignment="1">
      <alignment horizont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1E-3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topLeftCell="A57" zoomScale="115" zoomScaleNormal="115" workbookViewId="0">
      <selection activeCell="F4" sqref="F4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  <col min="12" max="12" width="21.53125" bestFit="1" customWidth="1"/>
    <col min="13" max="18" width="8.46484375" customWidth="1"/>
  </cols>
  <sheetData>
    <row r="1" spans="1:19" ht="18.399999999999999" thickBot="1" x14ac:dyDescent="0.6">
      <c r="A1" s="1" t="s">
        <v>8</v>
      </c>
      <c r="B1" s="2"/>
      <c r="C1" s="2"/>
      <c r="D1" s="2"/>
      <c r="E1" s="3"/>
      <c r="F1" s="3"/>
      <c r="G1" s="47"/>
      <c r="H1" s="3"/>
      <c r="I1" s="3"/>
      <c r="J1" s="4" t="s">
        <v>5</v>
      </c>
      <c r="K1" s="11"/>
      <c r="L1" s="11"/>
      <c r="M1" s="11" t="s">
        <v>41</v>
      </c>
      <c r="N1" s="11" t="s">
        <v>37</v>
      </c>
      <c r="O1" s="11" t="s">
        <v>38</v>
      </c>
      <c r="P1" s="11" t="s">
        <v>39</v>
      </c>
      <c r="Q1" s="11" t="s">
        <v>40</v>
      </c>
      <c r="R1" s="11" t="s">
        <v>51</v>
      </c>
      <c r="S1" s="11" t="s">
        <v>46</v>
      </c>
    </row>
    <row r="2" spans="1:19" ht="14.65" thickBot="1" x14ac:dyDescent="0.5">
      <c r="H2" s="11"/>
      <c r="I2" s="11"/>
      <c r="J2" s="11"/>
      <c r="K2" s="11"/>
      <c r="L2" s="11" t="s">
        <v>45</v>
      </c>
      <c r="M2" s="69">
        <f>IF(OR(AND(ISNUMBER(F7), F7&gt;0), AND(ISNUMBER(F8), F8&gt;0)), G43/F43*(SUM(F7:F8)+F9/2), 0)</f>
        <v>0</v>
      </c>
      <c r="N2" s="69">
        <f>G43/F43*(SUM(F11:F18) + IF(OR(AND(ISNUMBER(F7), F7&gt;0), AND(ISNUMBER(F8), F8&gt;0)), F9/2, F9) + IF(SUM(F21:F25)&gt;0, F19/2, F19))</f>
        <v>40.80088495575221</v>
      </c>
      <c r="O2" s="69">
        <f>G43/F43*(SUM(F21:F25) + IF(SUM(F11:F18)&gt;0, F19/2, F19) + IF(SUM(F28:F38)&gt;0, F26/2, F26))</f>
        <v>52.296460176991154</v>
      </c>
      <c r="P2" s="69">
        <f>G43/F43*(SUM(F28:F38) + IF(SUM(F21:F25)&gt;0, F26/2, F26) + IF(AND(ISNUMBER(F41), F41&gt;0), F39/2, F39))</f>
        <v>1.9469026548672566</v>
      </c>
      <c r="Q2" s="69">
        <f>IF(AND(ISNUMBER(F41), F41&gt;0), G43/F43*(F41+F39/2), 0)</f>
        <v>0</v>
      </c>
      <c r="S2" s="69">
        <f>SUM(M2:Q2)</f>
        <v>95.044247787610615</v>
      </c>
    </row>
    <row r="3" spans="1:19" ht="14.65" thickBot="1" x14ac:dyDescent="0.5">
      <c r="C3" s="6"/>
      <c r="D3" s="12" t="s">
        <v>27</v>
      </c>
      <c r="E3" s="12" t="s">
        <v>15</v>
      </c>
      <c r="F3" s="12" t="s">
        <v>14</v>
      </c>
      <c r="G3" s="21" t="s">
        <v>25</v>
      </c>
      <c r="H3" s="11"/>
      <c r="I3" s="11"/>
      <c r="J3" s="11"/>
      <c r="K3" s="11"/>
      <c r="L3" s="11" t="s">
        <v>44</v>
      </c>
      <c r="M3" s="63">
        <f>(MAX(H7:H10)-MIN(H7:H10))</f>
        <v>0</v>
      </c>
      <c r="N3" s="63">
        <f>(MAX(H9:H20)-MIN(H9:H20))</f>
        <v>40.415929203539818</v>
      </c>
      <c r="O3" s="63">
        <f>(MAX(H19:H27)-MIN(H19:H27))</f>
        <v>47.017699115044245</v>
      </c>
      <c r="P3" s="63">
        <f>(MAX(H26:H40)-MIN(H26:H40))</f>
        <v>0</v>
      </c>
      <c r="Q3" s="63">
        <f>IF(AND(ISNUMBER(H41), H39&gt;0), MAX(H39:H41), MAX(H40:H41))</f>
        <v>0</v>
      </c>
      <c r="R3" s="63">
        <f>(MAX(H26:H42)-MIN(H26:H42))</f>
        <v>5.9292035398230087</v>
      </c>
      <c r="S3" s="69">
        <f>SUM(M3:Q3)</f>
        <v>87.433628318584056</v>
      </c>
    </row>
    <row r="4" spans="1:19" ht="14.65" thickBot="1" x14ac:dyDescent="0.5">
      <c r="D4" s="22">
        <v>1130</v>
      </c>
      <c r="E4" s="23">
        <v>48</v>
      </c>
      <c r="F4" s="23">
        <v>38</v>
      </c>
      <c r="G4" s="24" t="s">
        <v>22</v>
      </c>
      <c r="H4" s="11"/>
      <c r="I4" s="11"/>
      <c r="J4" s="11"/>
      <c r="K4" s="11"/>
      <c r="L4" s="11"/>
      <c r="M4" s="11"/>
      <c r="N4" s="11"/>
      <c r="O4" s="11"/>
      <c r="P4" s="63"/>
      <c r="Q4" s="11"/>
      <c r="R4" s="11"/>
      <c r="S4" s="11"/>
    </row>
    <row r="5" spans="1:19" ht="14.65" thickBot="1" x14ac:dyDescent="0.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4.65" thickBot="1" x14ac:dyDescent="0.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45">
      <c r="D7" s="100" t="str">
        <f>"Steine " &amp; TEXT(M3, "0.00") &amp; " %"</f>
        <v>Steine 0.00 %</v>
      </c>
      <c r="E7" s="29">
        <v>125</v>
      </c>
      <c r="F7" s="51"/>
      <c r="G7" s="58" t="str">
        <f t="shared" ref="G7:G8" si="0">IF(AND(ISNUMBER(F7), F7&lt;&gt;0, ISNUMBER($D$4), $D$4&gt;0), 100/$D$4*F7, "-")</f>
        <v>-</v>
      </c>
      <c r="H7" s="44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45">
      <c r="D8" s="92"/>
      <c r="E8" s="30">
        <v>90</v>
      </c>
      <c r="F8" s="50"/>
      <c r="G8" s="59" t="str">
        <f t="shared" si="0"/>
        <v>-</v>
      </c>
      <c r="H8" s="45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5" customHeight="1" thickBot="1" x14ac:dyDescent="0.5">
      <c r="D9" s="91"/>
      <c r="E9" s="93">
        <v>63</v>
      </c>
      <c r="F9" s="94">
        <v>64</v>
      </c>
      <c r="G9" s="96">
        <f>IF(AND(ISNUMBER(F9), F9&lt;&gt;0, ISNUMBER($D$4), $D$4&gt;0), 100/$D$4*F9, "-")</f>
        <v>5.663716814159292</v>
      </c>
      <c r="H9" s="98">
        <f>IF(ISNUMBER(G9), IF(ISNUMBER(H8), H8, IF(COUNT(H$7:H8)&gt;0, MIN(H$7:H8), 100)) - G9, "-")</f>
        <v>94.336283185840713</v>
      </c>
      <c r="J9" s="141"/>
      <c r="K9" s="11"/>
      <c r="L9" s="11"/>
      <c r="M9" s="11"/>
      <c r="N9" s="11"/>
      <c r="O9" s="11"/>
      <c r="P9" s="11"/>
      <c r="Q9" s="11"/>
      <c r="R9" s="11"/>
    </row>
    <row r="10" spans="1:19" ht="7.25" customHeight="1" x14ac:dyDescent="0.45">
      <c r="B10" s="71" t="str">
        <f>"Grobkörnig = " &amp; TEXT(N3+O3, "0.00") &amp; " %"</f>
        <v>Grobkörnig = 87.43 %</v>
      </c>
      <c r="C10" s="72"/>
      <c r="D10" s="90" t="str">
        <f>"Kies " &amp; TEXT(N3, "0.00") &amp; " %"</f>
        <v>Kies 40.42 %</v>
      </c>
      <c r="E10" s="93"/>
      <c r="F10" s="95"/>
      <c r="G10" s="97"/>
      <c r="H10" s="99"/>
      <c r="J10" s="141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45">
      <c r="B11" s="73"/>
      <c r="C11" s="74"/>
      <c r="D11" s="92"/>
      <c r="E11" s="30">
        <v>45</v>
      </c>
      <c r="F11" s="53"/>
      <c r="G11" s="59" t="str">
        <f t="shared" ref="G11:G42" si="1">IF(AND(ISNUMBER(F11), F11&lt;&gt;0, ISNUMBER($D$4), $D$4&gt;0), 100/$D$4*F11, "-")</f>
        <v>-</v>
      </c>
      <c r="H11" s="45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45">
      <c r="B12" s="73"/>
      <c r="C12" s="74"/>
      <c r="D12" s="92"/>
      <c r="E12" s="31">
        <v>31.5</v>
      </c>
      <c r="F12" s="54">
        <v>110</v>
      </c>
      <c r="G12" s="49">
        <f t="shared" si="1"/>
        <v>9.7345132743362832</v>
      </c>
      <c r="H12" s="46">
        <f>IF(ISNUMBER(G12), IF(ISNUMBER(H11), H11, IF(COUNT(H$7:H11)&gt;0, MIN(H$7:H11), 100)) - G12, "-")</f>
        <v>84.601769911504434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5">
      <c r="B13" s="73"/>
      <c r="C13" s="74"/>
      <c r="D13" s="92"/>
      <c r="E13" s="30">
        <v>22.4</v>
      </c>
      <c r="F13" s="53"/>
      <c r="G13" s="59" t="str">
        <f t="shared" si="1"/>
        <v>-</v>
      </c>
      <c r="H13" s="45" t="str">
        <f>IF(ISNUMBER(G13), IF(ISNUMBER(H12), H12, IF(COUNT(H$7:H12)&gt;0, MIN(H$7:H12), 100)) - G13, "-")</f>
        <v>-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45">
      <c r="B14" s="73"/>
      <c r="C14" s="74"/>
      <c r="D14" s="92"/>
      <c r="E14" s="31">
        <v>16</v>
      </c>
      <c r="F14" s="54">
        <v>73</v>
      </c>
      <c r="G14" s="49">
        <f t="shared" si="1"/>
        <v>6.4601769911504423</v>
      </c>
      <c r="H14" s="46">
        <f>IF(ISNUMBER(G14), IF(ISNUMBER(H13), H13, IF(COUNT(H$7:H13)&gt;0, MIN(H$7:H13), 100)) - G14, "-")</f>
        <v>78.141592920353986</v>
      </c>
      <c r="I14" s="149" t="s">
        <v>42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45">
      <c r="B15" s="73"/>
      <c r="C15" s="74"/>
      <c r="D15" s="92"/>
      <c r="E15" s="30">
        <v>11.2</v>
      </c>
      <c r="F15" s="53"/>
      <c r="G15" s="59" t="str">
        <f t="shared" si="1"/>
        <v>-</v>
      </c>
      <c r="H15" s="45" t="str">
        <f>IF(ISNUMBER(G15), IF(ISNUMBER(H14), H14, IF(COUNT(H$7:H14)&gt;0, MIN(H$7:H14), 100)) - G15, "-")</f>
        <v>-</v>
      </c>
      <c r="I15" s="150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45">
      <c r="B16" s="73"/>
      <c r="C16" s="74"/>
      <c r="D16" s="92"/>
      <c r="E16" s="31">
        <v>8</v>
      </c>
      <c r="F16" s="54">
        <v>65.7</v>
      </c>
      <c r="G16" s="49">
        <f t="shared" si="1"/>
        <v>5.8141592920353986</v>
      </c>
      <c r="H16" s="46">
        <f>IF(ISNUMBER(G16), IF(ISNUMBER(H15), H15, IF(COUNT(H$7:H15)&gt;0, MIN(H$7:H15), 100)) - G16, "-")</f>
        <v>72.327433628318587</v>
      </c>
      <c r="I16" s="150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45">
      <c r="B17" s="73"/>
      <c r="C17" s="74"/>
      <c r="D17" s="92"/>
      <c r="E17" s="30">
        <v>5.6</v>
      </c>
      <c r="F17" s="53"/>
      <c r="G17" s="59" t="str">
        <f t="shared" si="1"/>
        <v>-</v>
      </c>
      <c r="H17" s="45" t="str">
        <f>IF(ISNUMBER(G17), IF(ISNUMBER(H16), H16, IF(COUNT(H$7:H16)&gt;0, MIN(H$7:H16), 100)) - G17, "-")</f>
        <v>-</v>
      </c>
      <c r="I17" s="150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45">
      <c r="B18" s="73"/>
      <c r="C18" s="74"/>
      <c r="D18" s="92"/>
      <c r="E18" s="31">
        <v>4</v>
      </c>
      <c r="F18" s="54">
        <v>88.7</v>
      </c>
      <c r="G18" s="49">
        <f t="shared" si="1"/>
        <v>7.8495575221238942</v>
      </c>
      <c r="H18" s="46">
        <f>IF(ISNUMBER(G18), IF(ISNUMBER(H17), H17, IF(COUNT(H$7:H17)&gt;0, MIN(H$7:H17), 100)) - G18, "-")</f>
        <v>64.477876106194699</v>
      </c>
      <c r="I18" s="150"/>
      <c r="J18" s="63"/>
      <c r="K18" s="11"/>
      <c r="L18" s="11"/>
      <c r="M18" s="11"/>
      <c r="N18" s="11"/>
      <c r="O18" s="11"/>
      <c r="P18" s="11"/>
      <c r="Q18" s="11"/>
      <c r="R18" s="11"/>
    </row>
    <row r="19" spans="2:18" ht="7.25" customHeight="1" thickBot="1" x14ac:dyDescent="0.5">
      <c r="B19" s="73"/>
      <c r="C19" s="74"/>
      <c r="D19" s="91"/>
      <c r="E19" s="101">
        <v>2</v>
      </c>
      <c r="F19" s="84">
        <v>119.3</v>
      </c>
      <c r="G19" s="86">
        <f t="shared" si="1"/>
        <v>10.557522123893804</v>
      </c>
      <c r="H19" s="88">
        <f>IF(ISNUMBER(G19), IF(ISNUMBER(H18), H18, IF(COUNT(H$7:H18)&gt;0, MIN(H$7:H18), 100)) - G19, "-")</f>
        <v>53.920353982300895</v>
      </c>
      <c r="I19" s="150"/>
      <c r="J19" s="158"/>
      <c r="K19" s="11"/>
      <c r="L19" s="11"/>
      <c r="M19" s="11"/>
      <c r="N19" s="11"/>
      <c r="O19" s="11"/>
      <c r="P19" s="11"/>
      <c r="Q19" s="11"/>
      <c r="R19" s="11"/>
    </row>
    <row r="20" spans="2:18" ht="7.25" customHeight="1" x14ac:dyDescent="0.45">
      <c r="B20" s="73"/>
      <c r="C20" s="74"/>
      <c r="D20" s="90" t="str">
        <f>"Sand " &amp; TEXT(O3, "0.00") &amp; " %"</f>
        <v>Sand 47.02 %</v>
      </c>
      <c r="E20" s="101"/>
      <c r="F20" s="85"/>
      <c r="G20" s="87"/>
      <c r="H20" s="89"/>
      <c r="I20" s="150"/>
      <c r="J20" s="158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45">
      <c r="B21" s="73"/>
      <c r="C21" s="74"/>
      <c r="D21" s="92"/>
      <c r="E21" s="31">
        <v>1</v>
      </c>
      <c r="F21" s="54">
        <v>129.30000000000001</v>
      </c>
      <c r="G21" s="49">
        <f t="shared" si="1"/>
        <v>11.442477876106196</v>
      </c>
      <c r="H21" s="46">
        <f>IF(ISNUMBER(G21), IF(ISNUMBER(H20), H20, IF(COUNT(H$7:H20)&gt;0, MIN(H$7:H20), 100)) - G21, "-")</f>
        <v>42.477876106194699</v>
      </c>
      <c r="I21" s="150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45">
      <c r="B22" s="73"/>
      <c r="C22" s="74"/>
      <c r="D22" s="92"/>
      <c r="E22" s="30">
        <v>0.5</v>
      </c>
      <c r="F22" s="53">
        <v>98</v>
      </c>
      <c r="G22" s="59">
        <f t="shared" si="1"/>
        <v>8.6725663716814161</v>
      </c>
      <c r="H22" s="45">
        <f>IF(ISNUMBER(G22), IF(ISNUMBER(H21), H21, IF(COUNT(H$7:H21)&gt;0, MIN(H$7:H21), 100)) - G22, "-")</f>
        <v>33.805309734513287</v>
      </c>
      <c r="I22" s="150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45">
      <c r="B23" s="73"/>
      <c r="C23" s="74"/>
      <c r="D23" s="92"/>
      <c r="E23" s="31">
        <v>0.25</v>
      </c>
      <c r="F23" s="54">
        <v>165</v>
      </c>
      <c r="G23" s="49">
        <f t="shared" si="1"/>
        <v>14.601769911504425</v>
      </c>
      <c r="H23" s="46">
        <f>IF(ISNUMBER(G23), IF(ISNUMBER(H22), H22, IF(COUNT(H$7:H22)&gt;0, MIN(H$7:H22), 100)) - G23, "-")</f>
        <v>19.20353982300886</v>
      </c>
      <c r="I23" s="150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45">
      <c r="B24" s="73"/>
      <c r="C24" s="74"/>
      <c r="D24" s="92"/>
      <c r="E24" s="30">
        <v>0.2</v>
      </c>
      <c r="F24" s="53"/>
      <c r="G24" s="59" t="str">
        <f t="shared" si="1"/>
        <v>-</v>
      </c>
      <c r="H24" s="45" t="str">
        <f>IF(ISNUMBER(G24), IF(ISNUMBER(H23), H23, IF(COUNT(H$7:H23)&gt;0, MIN(H$7:H23), 100)) - G24, "-")</f>
        <v>-</v>
      </c>
      <c r="I24" s="150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5">
      <c r="B25" s="73"/>
      <c r="C25" s="74"/>
      <c r="D25" s="92"/>
      <c r="E25" s="31">
        <v>0.125</v>
      </c>
      <c r="F25" s="54">
        <v>95</v>
      </c>
      <c r="G25" s="49">
        <f t="shared" si="1"/>
        <v>8.4070796460176993</v>
      </c>
      <c r="H25" s="46">
        <f>IF(ISNUMBER(G25), IF(ISNUMBER(H24), H24, IF(COUNT(H$7:H24)&gt;0, MIN(H$7:H24), 100)) - G25, "-")</f>
        <v>10.796460176991161</v>
      </c>
      <c r="I25" s="151"/>
      <c r="J25" s="63"/>
      <c r="K25" s="11"/>
      <c r="L25" s="11"/>
      <c r="M25" s="11"/>
      <c r="N25" s="11"/>
      <c r="O25" s="11"/>
      <c r="P25" s="11"/>
      <c r="Q25" s="11"/>
      <c r="R25" s="11"/>
    </row>
    <row r="26" spans="2:18" ht="7.25" customHeight="1" thickBot="1" x14ac:dyDescent="0.5">
      <c r="B26" s="75"/>
      <c r="C26" s="76"/>
      <c r="D26" s="91"/>
      <c r="E26" s="83">
        <v>6.3E-2</v>
      </c>
      <c r="F26" s="84">
        <v>44</v>
      </c>
      <c r="G26" s="86">
        <f t="shared" si="1"/>
        <v>3.8938053097345131</v>
      </c>
      <c r="H26" s="88">
        <f>IF(ISNUMBER(I26), I26, IF(ISNUMBER(G26), IF(ISNUMBER(H25), H25, IF(COUNT(H$7:H25)&gt;0, MIN(H$7:H25), 100)) - G26, "-"))</f>
        <v>6.9026548672566479</v>
      </c>
      <c r="I26" s="79"/>
      <c r="J26" s="158"/>
      <c r="K26" s="11"/>
      <c r="L26" s="11"/>
      <c r="M26" s="11"/>
      <c r="N26" s="11"/>
      <c r="O26" s="11"/>
      <c r="P26" s="11"/>
      <c r="Q26" s="11"/>
      <c r="R26" s="11"/>
    </row>
    <row r="27" spans="2:18" ht="7.25" customHeight="1" x14ac:dyDescent="0.45">
      <c r="B27" s="71" t="str">
        <f>"Feinkörnig = " &amp; TEXT(R3, "0.00") &amp; " %"</f>
        <v>Feinkörnig = 5.93 %</v>
      </c>
      <c r="C27" s="72"/>
      <c r="D27" s="90" t="str">
        <f>"Silt " &amp; TEXT(P3, "0.00") &amp; " %"</f>
        <v>Silt 0.00 %</v>
      </c>
      <c r="E27" s="83"/>
      <c r="F27" s="85"/>
      <c r="G27" s="87"/>
      <c r="H27" s="89"/>
      <c r="I27" s="78"/>
      <c r="J27" s="158"/>
      <c r="K27" s="11"/>
      <c r="L27" s="11"/>
      <c r="M27" s="11"/>
      <c r="N27" s="11"/>
      <c r="O27" s="11"/>
      <c r="P27" s="11"/>
      <c r="Q27" s="11"/>
      <c r="R27" s="11"/>
    </row>
    <row r="28" spans="2:18" ht="14.45" customHeight="1" x14ac:dyDescent="0.45">
      <c r="B28" s="73"/>
      <c r="C28" s="74"/>
      <c r="D28" s="92"/>
      <c r="E28" s="31">
        <v>0.06</v>
      </c>
      <c r="F28" s="52"/>
      <c r="G28" s="49" t="str">
        <f t="shared" si="1"/>
        <v>-</v>
      </c>
      <c r="H28" s="46" t="str">
        <f>IF(ISNUMBER(I28), I28, IF(ISNUMBER(G28), IF(ISNUMBER(H26), H26, IF(COUNT(H$7:H26)&gt;0, MIN(H$7:H26), 100)) - G28, "-"))</f>
        <v>-</v>
      </c>
      <c r="I28" s="55"/>
      <c r="J28" s="63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45">
      <c r="B29" s="73"/>
      <c r="C29" s="74"/>
      <c r="D29" s="92"/>
      <c r="E29" s="30">
        <v>0.05</v>
      </c>
      <c r="F29" s="53"/>
      <c r="G29" s="59" t="str">
        <f t="shared" si="1"/>
        <v>-</v>
      </c>
      <c r="H29" s="45" t="str">
        <f>IF(ISNUMBER(I29), I29, IF(ISNUMBER(G29), IF(ISNUMBER(H27), H27, IF(COUNT(H$7:H27)&gt;0, MIN(H$7:H27), 100)) - G29, "-"))</f>
        <v>-</v>
      </c>
      <c r="I29" s="56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45">
      <c r="B30" s="73"/>
      <c r="C30" s="74"/>
      <c r="D30" s="92"/>
      <c r="E30" s="31">
        <v>0.04</v>
      </c>
      <c r="F30" s="54"/>
      <c r="G30" s="49" t="str">
        <f t="shared" si="1"/>
        <v>-</v>
      </c>
      <c r="H30" s="46" t="str">
        <f>IF(ISNUMBER(I30), I30, IF(ISNUMBER(G30), IF(ISNUMBER(H29), H29, IF(COUNT(H$7:H29)&gt;0, MIN(H$7:H29), 100)) - G30, "-"))</f>
        <v>-</v>
      </c>
      <c r="I30" s="55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45">
      <c r="B31" s="73"/>
      <c r="C31" s="74"/>
      <c r="D31" s="92"/>
      <c r="E31" s="30">
        <v>0.03</v>
      </c>
      <c r="F31" s="53"/>
      <c r="G31" s="59" t="str">
        <f t="shared" si="1"/>
        <v>-</v>
      </c>
      <c r="H31" s="45" t="str">
        <f>IF(ISNUMBER(I31), I31, IF(ISNUMBER(G31), IF(ISNUMBER(H30), H30, IF(COUNT(H$7:H30)&gt;0, MIN(H$7:H30), 100)) - G31, "-"))</f>
        <v>-</v>
      </c>
      <c r="I31" s="56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45">
      <c r="B32" s="73"/>
      <c r="C32" s="74"/>
      <c r="D32" s="92"/>
      <c r="E32" s="31">
        <v>0.02</v>
      </c>
      <c r="F32" s="54"/>
      <c r="G32" s="49" t="str">
        <f t="shared" si="1"/>
        <v>-</v>
      </c>
      <c r="H32" s="46" t="str">
        <f>IF(ISNUMBER(I32), I32, IF(ISNUMBER(G32), IF(ISNUMBER(H31), H31, IF(COUNT(H$7:H31)&gt;0, MIN(H$7:H31), 100)) - G32, "-"))</f>
        <v>-</v>
      </c>
      <c r="I32" s="55"/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45">
      <c r="B33" s="73"/>
      <c r="C33" s="74"/>
      <c r="D33" s="92"/>
      <c r="E33" s="30">
        <v>1.4999999999999999E-2</v>
      </c>
      <c r="F33" s="53"/>
      <c r="G33" s="59" t="str">
        <f t="shared" si="1"/>
        <v>-</v>
      </c>
      <c r="H33" s="45" t="str">
        <f>IF(ISNUMBER(I33), I33, IF(ISNUMBER(G33), IF(ISNUMBER(H32), H32, IF(COUNT(H$7:H32)&gt;0, MIN(H$7:H32), 100)) - G33, "-"))</f>
        <v>-</v>
      </c>
      <c r="I33" s="56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45">
      <c r="B34" s="73"/>
      <c r="C34" s="74"/>
      <c r="D34" s="92"/>
      <c r="E34" s="31">
        <v>0.01</v>
      </c>
      <c r="F34" s="54"/>
      <c r="G34" s="49" t="str">
        <f t="shared" si="1"/>
        <v>-</v>
      </c>
      <c r="H34" s="46" t="str">
        <f>IF(ISNUMBER(I34), I34, IF(ISNUMBER(G34), IF(ISNUMBER(H33), H33, IF(COUNT(H$7:H33)&gt;0, MIN(H$7:H33), 100)) - G34, "-"))</f>
        <v>-</v>
      </c>
      <c r="I34" s="55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45">
      <c r="B35" s="73"/>
      <c r="C35" s="74"/>
      <c r="D35" s="92"/>
      <c r="E35" s="30">
        <v>8.0000000000000002E-3</v>
      </c>
      <c r="F35" s="53"/>
      <c r="G35" s="59" t="str">
        <f t="shared" si="1"/>
        <v>-</v>
      </c>
      <c r="H35" s="45" t="str">
        <f>IF(ISNUMBER(I35), I35, IF(ISNUMBER(G35), IF(ISNUMBER(H34), H34, IF(COUNT(H$7:H34)&gt;0, MIN(H$7:H34), 100)) - G35, "-"))</f>
        <v>-</v>
      </c>
      <c r="I35" s="56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45">
      <c r="B36" s="73"/>
      <c r="C36" s="74"/>
      <c r="D36" s="92"/>
      <c r="E36" s="31">
        <v>6.0000000000000001E-3</v>
      </c>
      <c r="F36" s="54"/>
      <c r="G36" s="49" t="str">
        <f t="shared" si="1"/>
        <v>-</v>
      </c>
      <c r="H36" s="46" t="str">
        <f>IF(ISNUMBER(I36), I36, IF(ISNUMBER(G36), IF(ISNUMBER(H35), H35, IF(COUNT(H$7:H35)&gt;0, MIN(H$7:H35), 100)) - G36, "-"))</f>
        <v>-</v>
      </c>
      <c r="I36" s="55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45">
      <c r="B37" s="73"/>
      <c r="C37" s="74"/>
      <c r="D37" s="92"/>
      <c r="E37" s="30">
        <v>4.0000000000000001E-3</v>
      </c>
      <c r="F37" s="53"/>
      <c r="G37" s="59" t="str">
        <f t="shared" si="1"/>
        <v>-</v>
      </c>
      <c r="H37" s="45" t="str">
        <f>IF(ISNUMBER(I37), I37, IF(ISNUMBER(G37), IF(ISNUMBER(H36), H36, IF(COUNT(H$7:H36)&gt;0, MIN(H$7:H36), 100)) - G37, "-"))</f>
        <v>-</v>
      </c>
      <c r="I37" s="56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45">
      <c r="B38" s="73"/>
      <c r="C38" s="74"/>
      <c r="D38" s="92"/>
      <c r="E38" s="31">
        <v>3.0000000000000001E-3</v>
      </c>
      <c r="F38" s="54"/>
      <c r="G38" s="49" t="str">
        <f t="shared" si="1"/>
        <v>-</v>
      </c>
      <c r="H38" s="46" t="str">
        <f>IF(ISNUMBER(I38), I38, IF(ISNUMBER(G38), IF(ISNUMBER(H37), H37, IF(COUNT(H$7:H37)&gt;0, MIN(H$7:H37), 100)) - G38, "-"))</f>
        <v>-</v>
      </c>
      <c r="I38" s="55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5" customHeight="1" thickBot="1" x14ac:dyDescent="0.5">
      <c r="B39" s="73"/>
      <c r="C39" s="74"/>
      <c r="D39" s="91"/>
      <c r="E39" s="83">
        <v>2E-3</v>
      </c>
      <c r="F39" s="84"/>
      <c r="G39" s="86" t="str">
        <f t="shared" si="1"/>
        <v>-</v>
      </c>
      <c r="H39" s="88" t="str">
        <f>IF(ISNUMBER(I39), I39, IF(ISNUMBER(G39), IF(ISNUMBER(H38), H38, IF(COUNT(H$7:H38)&gt;0, MIN(H$7:H38), 100)) - G39, "-"))</f>
        <v>-</v>
      </c>
      <c r="I39" s="77"/>
      <c r="J39" s="158"/>
      <c r="K39" s="11"/>
      <c r="L39" s="11"/>
      <c r="M39" s="11"/>
      <c r="N39" s="11"/>
      <c r="O39" s="11"/>
      <c r="P39" s="11"/>
      <c r="Q39" s="11"/>
      <c r="R39" s="11"/>
    </row>
    <row r="40" spans="2:18" ht="7.25" customHeight="1" x14ac:dyDescent="0.45">
      <c r="B40" s="73"/>
      <c r="C40" s="74"/>
      <c r="D40" s="90" t="str">
        <f>"Ton " &amp; TEXT(Q3, "0.00") &amp; " %"</f>
        <v>Ton 0.00 %</v>
      </c>
      <c r="E40" s="83"/>
      <c r="F40" s="85"/>
      <c r="G40" s="87"/>
      <c r="H40" s="89"/>
      <c r="I40" s="78"/>
      <c r="J40" s="158"/>
      <c r="K40" s="11"/>
    </row>
    <row r="41" spans="2:18" ht="14.55" customHeight="1" thickBot="1" x14ac:dyDescent="0.5">
      <c r="B41" s="75"/>
      <c r="C41" s="76"/>
      <c r="D41" s="91"/>
      <c r="E41" s="31">
        <v>1E-3</v>
      </c>
      <c r="F41" s="60"/>
      <c r="G41" s="49" t="str">
        <f t="shared" si="1"/>
        <v>-</v>
      </c>
      <c r="H41" s="46" t="str">
        <f>IF(ISNUMBER(I41), I41, IF(ISNUMBER(G41), IF(ISNUMBER(H40), H40, IF(COUNT(H$7:H40)&gt;0, MIN(H$7:H40), 100)) - G41, "-"))</f>
        <v>-</v>
      </c>
      <c r="I41" s="57"/>
      <c r="J41" s="11"/>
      <c r="K41" s="11"/>
    </row>
    <row r="42" spans="2:18" ht="14.55" customHeight="1" thickBot="1" x14ac:dyDescent="0.5">
      <c r="B42" s="5"/>
      <c r="C42" s="5"/>
      <c r="E42" s="65" t="s">
        <v>47</v>
      </c>
      <c r="F42" s="66">
        <v>67</v>
      </c>
      <c r="G42" s="67">
        <f t="shared" si="1"/>
        <v>5.9292035398230087</v>
      </c>
      <c r="H42" s="68">
        <f>IF(ISNUMBER(I42),I42,IF(ISNUMBER(G42),IF(ISNUMBER(H41),H41,IF(COUNT(H$7:H41)&gt;0,MIN(IF(SUM(I26:I41)&gt;0,H$7:H26,H$7:H41)),100))-G42,"-"))</f>
        <v>0.97345132743363916</v>
      </c>
      <c r="J42" s="11"/>
      <c r="K42" s="11"/>
    </row>
    <row r="43" spans="2:18" x14ac:dyDescent="0.45">
      <c r="E43" s="64" t="s">
        <v>3</v>
      </c>
      <c r="F43" s="61">
        <f>SUM(F7:F42)</f>
        <v>1119</v>
      </c>
      <c r="G43" s="62">
        <f>100 - MIN(IF(AND(ISNUMBER(H42), H42&gt;0), H7:H42, H7:H41))</f>
        <v>99.026548672566364</v>
      </c>
      <c r="J43" s="11"/>
      <c r="K43" s="11"/>
    </row>
    <row r="44" spans="2:18" ht="14.65" thickBot="1" x14ac:dyDescent="0.5">
      <c r="E44" s="18" t="s">
        <v>4</v>
      </c>
      <c r="F44" s="19">
        <f>D4-F43</f>
        <v>11</v>
      </c>
      <c r="G44" s="43">
        <f>ABS(100-G43)</f>
        <v>0.97345132743363649</v>
      </c>
      <c r="H44" s="48" t="str">
        <f>IF(G44&lt;1, "&lt; 1 % Brauchbar","&gt; 1 % Unbrauchbar")</f>
        <v>&lt; 1 % Brauchbar</v>
      </c>
      <c r="J44" s="11"/>
      <c r="K44" s="11"/>
    </row>
    <row r="45" spans="2:18" x14ac:dyDescent="0.45">
      <c r="J45" s="11"/>
      <c r="K45" s="11"/>
    </row>
    <row r="46" spans="2:18" ht="14.65" thickBot="1" x14ac:dyDescent="0.5"/>
    <row r="47" spans="2:18" ht="14.65" thickBot="1" x14ac:dyDescent="0.5">
      <c r="C47" s="6"/>
      <c r="D47" s="7" t="s">
        <v>17</v>
      </c>
      <c r="E47" s="7" t="s">
        <v>6</v>
      </c>
      <c r="F47" s="7" t="s">
        <v>7</v>
      </c>
      <c r="G47" s="142" t="s">
        <v>26</v>
      </c>
      <c r="H47" s="142"/>
      <c r="I47" s="142"/>
      <c r="J47" s="142"/>
      <c r="K47" s="142"/>
      <c r="L47" s="143"/>
    </row>
    <row r="48" spans="2:18" x14ac:dyDescent="0.45">
      <c r="D48" s="13" t="s">
        <v>0</v>
      </c>
      <c r="E48" s="32">
        <v>0.112</v>
      </c>
      <c r="F48" s="33">
        <v>10</v>
      </c>
      <c r="G48" s="80" t="s">
        <v>50</v>
      </c>
      <c r="H48" s="81"/>
      <c r="I48" s="81"/>
      <c r="J48" s="81"/>
      <c r="K48" s="81"/>
      <c r="L48" s="82"/>
    </row>
    <row r="49" spans="3:15" x14ac:dyDescent="0.45">
      <c r="D49" s="14" t="s">
        <v>1</v>
      </c>
      <c r="E49" s="34">
        <v>0.435</v>
      </c>
      <c r="F49" s="35">
        <v>30</v>
      </c>
      <c r="G49" s="155" t="s">
        <v>49</v>
      </c>
      <c r="H49" s="156"/>
      <c r="I49" s="156"/>
      <c r="J49" s="156"/>
      <c r="K49" s="156"/>
      <c r="L49" s="157"/>
    </row>
    <row r="50" spans="3:15" ht="14.65" thickBot="1" x14ac:dyDescent="0.5">
      <c r="D50" s="15" t="s">
        <v>2</v>
      </c>
      <c r="E50" s="36">
        <v>3.1520000000000001</v>
      </c>
      <c r="F50" s="37">
        <v>60</v>
      </c>
      <c r="G50" s="152" t="s">
        <v>48</v>
      </c>
      <c r="H50" s="153"/>
      <c r="I50" s="153"/>
      <c r="J50" s="153"/>
      <c r="K50" s="153"/>
      <c r="L50" s="154"/>
    </row>
    <row r="52" spans="3:15" ht="14.65" thickBot="1" x14ac:dyDescent="0.5"/>
    <row r="53" spans="3:15" ht="14.65" thickBot="1" x14ac:dyDescent="0.5">
      <c r="C53" s="25"/>
      <c r="D53" s="7" t="s">
        <v>33</v>
      </c>
      <c r="E53" s="142" t="s">
        <v>32</v>
      </c>
      <c r="F53" s="142"/>
      <c r="G53" s="7" t="s">
        <v>31</v>
      </c>
      <c r="H53" s="142" t="s">
        <v>9</v>
      </c>
      <c r="I53" s="142"/>
      <c r="J53" s="142"/>
      <c r="K53" s="142"/>
      <c r="L53" s="143"/>
    </row>
    <row r="54" spans="3:15" ht="19.899999999999999" x14ac:dyDescent="0.7">
      <c r="D54" s="20" t="s">
        <v>19</v>
      </c>
      <c r="E54" s="126" t="s">
        <v>29</v>
      </c>
      <c r="F54" s="127"/>
      <c r="G54" s="38">
        <f>E50/E48</f>
        <v>28.142857142857142</v>
      </c>
      <c r="H54" s="117" t="str">
        <f>IFERROR(ROUND(E50,2) &amp; " ÷ " &amp; ROUND(E48,2) &amp; " = " &amp; ROUND(E50/E48,3), "Fehler: Ungültige Werte")</f>
        <v>3.15 ÷ 0.11 = 28.143</v>
      </c>
      <c r="I54" s="118"/>
      <c r="J54" s="118"/>
      <c r="K54" s="118"/>
      <c r="L54" s="119"/>
    </row>
    <row r="55" spans="3:15" ht="19.899999999999999" x14ac:dyDescent="0.7">
      <c r="D55" s="26" t="s">
        <v>20</v>
      </c>
      <c r="E55" s="137" t="s">
        <v>30</v>
      </c>
      <c r="F55" s="138"/>
      <c r="G55" s="39">
        <f>(E49^2)/(E48*E50)</f>
        <v>0.53601171591733143</v>
      </c>
      <c r="H55" s="120" t="str">
        <f>IFERROR("(" &amp; ROUND(E49,2) &amp; "²) ÷ (" &amp; ROUND(E48,2) &amp; " × " &amp; ROUND(E50,2) &amp; ") = " &amp; ROUND((E49^2)/(E48*E50),3), "Fehler: Ungültige Werte")</f>
        <v>(0.44²) ÷ (0.11 × 3.15) = 0.536</v>
      </c>
      <c r="I55" s="121"/>
      <c r="J55" s="121"/>
      <c r="K55" s="121"/>
      <c r="L55" s="122"/>
    </row>
    <row r="56" spans="3:15" x14ac:dyDescent="0.45">
      <c r="D56" s="27" t="s">
        <v>16</v>
      </c>
      <c r="E56" s="144" t="s">
        <v>34</v>
      </c>
      <c r="F56" s="145"/>
      <c r="G56" s="40">
        <f>IF(AND(ISNUMBER(E4), ISNUMBER(F4), E4&gt;0, F4&gt;0, E4&gt;F4), E4-F4, "-")</f>
        <v>10</v>
      </c>
      <c r="H56" s="146" t="str">
        <f>IF(AND(ISNUMBER(E4), ISNUMBER(F4), E4&gt;0, F4&gt;0, E4&gt;F4), "(" &amp; E4 &amp; " - " &amp; F4 &amp; ") = " &amp; (E4 - F4), "Ungültige WP und WL Werte")</f>
        <v>(48 - 38) = 10</v>
      </c>
      <c r="I56" s="147"/>
      <c r="J56" s="147"/>
      <c r="K56" s="147"/>
      <c r="L56" s="148"/>
    </row>
    <row r="57" spans="3:15" ht="14.65" thickBot="1" x14ac:dyDescent="0.5">
      <c r="D57" s="28" t="s">
        <v>28</v>
      </c>
      <c r="E57" s="139" t="s">
        <v>36</v>
      </c>
      <c r="F57" s="140"/>
      <c r="G57" s="42" t="str" cm="1">
        <f t="array" ref="G57">PunktInPolygon(E4, G56)</f>
        <v>ML, OL</v>
      </c>
      <c r="H57" s="123" t="s">
        <v>35</v>
      </c>
      <c r="I57" s="124"/>
      <c r="J57" s="124"/>
      <c r="K57" s="124"/>
      <c r="L57" s="125"/>
    </row>
    <row r="58" spans="3:15" x14ac:dyDescent="0.45">
      <c r="E58" s="41"/>
      <c r="F58" s="10"/>
    </row>
    <row r="59" spans="3:15" ht="14.65" thickBot="1" x14ac:dyDescent="0.5">
      <c r="E59" s="41"/>
      <c r="F59" s="10"/>
    </row>
    <row r="60" spans="3:15" ht="14.65" thickBot="1" x14ac:dyDescent="0.5">
      <c r="C60" s="114" t="s">
        <v>21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6"/>
    </row>
    <row r="61" spans="3:15" ht="18" customHeight="1" x14ac:dyDescent="0.45">
      <c r="D61" s="128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(87.43%)</v>
      </c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30"/>
    </row>
    <row r="62" spans="3:15" ht="18" customHeight="1" x14ac:dyDescent="0.45">
      <c r="D62" s="131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(47.02% Sand, 40.42% Kies)</v>
      </c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3"/>
    </row>
    <row r="63" spans="3:15" ht="18" customHeight="1" thickBot="1" x14ac:dyDescent="0.5">
      <c r="D63" s="134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Silt, weil unterhalb der A-Linie</v>
      </c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6"/>
    </row>
    <row r="64" spans="3:15" ht="18.600000000000001" customHeight="1" x14ac:dyDescent="0.45">
      <c r="D64" s="102" t="str" cm="1">
        <f t="array" ref="D64">IF((MAX(H9:H26)-MIN(H9:H26))&gt;50,IF((MAX(H9:H19)-MIN(H9:H19))&gt;(MAX(H19:H26)-MIN(H19:H26)),KiesKlasseUndBeschreibung(MAX(H26:H42)-MIN(H26:H42),G54,G55,G57,(MAX(H19:H26)-MIN(H19:H26))),SandKlasseUndBeschreibung(MAX(H26:H42)-MIN(H26:H42),G54,G55,G57,(MAX(H19:H26)-MIN(H19:H26)))),KlassifiziereFein(MAX(H26:H42)-MIN(H26:H42),G54,G55,G57,(MAX(H19:H26)-MIN(H19:H26))))</f>
        <v>SP-SM - schlecht abgestufter Sand mit Kies und Silt</v>
      </c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4"/>
    </row>
    <row r="65" spans="4:15" ht="15" customHeight="1" x14ac:dyDescent="0.45">
      <c r="D65" s="105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7"/>
    </row>
    <row r="66" spans="4:15" ht="15" customHeight="1" x14ac:dyDescent="0.45">
      <c r="D66" s="108" t="str" cm="1">
        <f t="array" ref="D66">IF((MAX(H9:H26)-MIN(H9:H26))&gt;50,IF((MAX(H9:H19)-MIN(H9:H$19))&gt;(MAX(H19:H26)-MIN(H19:H26)),BegruendungFuerKiesKlasse(MAX(H26:H42)-MIN(H26:H42),G54,G55,G57,(MAX(H19:H26)-MIN(H19:H26))),BegruendungFuerSandKlasse(MAX(H26:H42)-MIN(H26:H42),G54,G55,G57,(MAX(H19:H26)-MIN(H19:H26)))),KlassifiziereFein(MAX(H26:H41)-MIN(H26:H41),G54,G55,G57,(MAX(H19:H26)-MIN(H19:H26))))</f>
        <v>(Feinanteil 5-12%, CUD &lt; 6 oder CCD außerhalb 1-3, Bodenklasse enthält ML/MH, Kiesanteil &gt;= 15%)</v>
      </c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10"/>
    </row>
    <row r="67" spans="4:15" ht="14.65" thickBot="1" x14ac:dyDescent="0.5">
      <c r="D67" s="111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3"/>
    </row>
    <row r="72" spans="4:15" ht="14.45" customHeight="1" x14ac:dyDescent="0.45">
      <c r="D72" s="70" t="s">
        <v>43</v>
      </c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</row>
    <row r="73" spans="4:15" x14ac:dyDescent="0.45"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</row>
    <row r="74" spans="4:15" x14ac:dyDescent="0.45"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</row>
    <row r="75" spans="4:15" x14ac:dyDescent="0.45"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</row>
    <row r="76" spans="4:15" x14ac:dyDescent="0.45"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</row>
    <row r="77" spans="4:15" x14ac:dyDescent="0.45"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</row>
    <row r="78" spans="4:15" x14ac:dyDescent="0.45"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</row>
    <row r="79" spans="4:15" ht="18" customHeight="1" x14ac:dyDescent="0.45"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</row>
    <row r="80" spans="4:15" x14ac:dyDescent="0.45"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</row>
    <row r="81" spans="4:15" x14ac:dyDescent="0.45"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</row>
    <row r="82" spans="4:15" x14ac:dyDescent="0.45"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</row>
    <row r="83" spans="4:15" x14ac:dyDescent="0.45"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</row>
    <row r="84" spans="4:15" x14ac:dyDescent="0.45"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</row>
    <row r="85" spans="4:15" x14ac:dyDescent="0.45"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</row>
  </sheetData>
  <sheetProtection algorithmName="SHA-512" hashValue="ZgJ/Ji6byw29L7thVqhJyBTWVBJcUuvpwmEuL0r1npeyOQagnD2leCUx0rrIdM7NI8Rw8W/GUdbXbi/Gs2NzZA==" saltValue="GvA03nRcwBY7uMFTmwrUgQ==" spinCount="100000" sheet="1" objects="1" scenarios="1" selectLockedCells="1"/>
  <mergeCells count="51"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72:O85"/>
    <mergeCell ref="B27:C41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16"/>
      <c r="B1" s="16"/>
      <c r="E1" s="5" t="s">
        <v>24</v>
      </c>
      <c r="F1" s="5"/>
      <c r="G1" s="5"/>
    </row>
    <row r="2" spans="1:7" x14ac:dyDescent="0.45">
      <c r="A2" s="17"/>
      <c r="B2" s="17"/>
      <c r="D2" s="5"/>
      <c r="E2" s="9" t="s">
        <v>22</v>
      </c>
    </row>
    <row r="3" spans="1:7" x14ac:dyDescent="0.45">
      <c r="A3" s="17"/>
      <c r="B3" s="17"/>
      <c r="D3" s="5"/>
      <c r="E3" s="9" t="s">
        <v>23</v>
      </c>
    </row>
    <row r="4" spans="1:7" x14ac:dyDescent="0.45">
      <c r="A4" s="17"/>
      <c r="B4" s="17"/>
      <c r="D4" s="5"/>
      <c r="E4" s="9"/>
    </row>
    <row r="5" spans="1:7" x14ac:dyDescent="0.45">
      <c r="A5" s="17"/>
      <c r="B5" s="17"/>
    </row>
    <row r="6" spans="1:7" x14ac:dyDescent="0.45">
      <c r="A6" s="17"/>
      <c r="B6" s="17"/>
    </row>
    <row r="7" spans="1:7" x14ac:dyDescent="0.45">
      <c r="A7" s="17"/>
      <c r="B7" s="17"/>
      <c r="D7" s="5"/>
      <c r="F7" s="10"/>
    </row>
    <row r="8" spans="1:7" x14ac:dyDescent="0.45">
      <c r="A8" s="17"/>
      <c r="B8" s="17"/>
      <c r="D8" s="5"/>
      <c r="F8" s="10"/>
    </row>
    <row r="9" spans="1:7" x14ac:dyDescent="0.45">
      <c r="A9" s="17"/>
      <c r="B9" s="17"/>
    </row>
    <row r="10" spans="1:7" x14ac:dyDescent="0.45">
      <c r="A10" s="17"/>
      <c r="B10" s="17"/>
    </row>
    <row r="11" spans="1:7" x14ac:dyDescent="0.45">
      <c r="A11" s="17"/>
      <c r="B11" s="17"/>
    </row>
    <row r="12" spans="1:7" x14ac:dyDescent="0.45">
      <c r="A12" s="17"/>
      <c r="B12" s="17"/>
    </row>
    <row r="13" spans="1:7" x14ac:dyDescent="0.45">
      <c r="A13" s="17"/>
      <c r="B13" s="17"/>
    </row>
    <row r="14" spans="1:7" x14ac:dyDescent="0.45">
      <c r="A14" s="17"/>
      <c r="B14" s="17"/>
    </row>
    <row r="15" spans="1:7" x14ac:dyDescent="0.45">
      <c r="A15" s="17"/>
      <c r="B15" s="17"/>
    </row>
    <row r="16" spans="1:7" x14ac:dyDescent="0.45">
      <c r="A16" s="17"/>
      <c r="B16" s="17"/>
    </row>
    <row r="17" spans="1:2" x14ac:dyDescent="0.45">
      <c r="A17" s="17"/>
      <c r="B17" s="17"/>
    </row>
    <row r="18" spans="1:2" x14ac:dyDescent="0.45">
      <c r="A18" s="17"/>
      <c r="B18" s="17"/>
    </row>
    <row r="19" spans="1:2" x14ac:dyDescent="0.45">
      <c r="A19" s="17"/>
      <c r="B19" s="17"/>
    </row>
    <row r="20" spans="1:2" x14ac:dyDescent="0.45">
      <c r="A20" s="17"/>
      <c r="B20" s="17"/>
    </row>
    <row r="21" spans="1:2" x14ac:dyDescent="0.45">
      <c r="A21" s="17"/>
      <c r="B21" s="17"/>
    </row>
    <row r="22" spans="1:2" x14ac:dyDescent="0.45">
      <c r="A22" s="17"/>
      <c r="B22" s="17"/>
    </row>
    <row r="23" spans="1:2" x14ac:dyDescent="0.45">
      <c r="A23" s="17"/>
      <c r="B23" s="17"/>
    </row>
    <row r="24" spans="1:2" x14ac:dyDescent="0.45">
      <c r="A24" s="17"/>
      <c r="B24" s="17"/>
    </row>
    <row r="25" spans="1:2" x14ac:dyDescent="0.45">
      <c r="A25" s="17"/>
      <c r="B25" s="17"/>
    </row>
    <row r="26" spans="1:2" x14ac:dyDescent="0.45">
      <c r="A26" s="17"/>
      <c r="B26" s="17"/>
    </row>
    <row r="27" spans="1:2" x14ac:dyDescent="0.45">
      <c r="A27" s="17"/>
      <c r="B27" s="17"/>
    </row>
    <row r="28" spans="1:2" x14ac:dyDescent="0.45">
      <c r="A28" s="17"/>
      <c r="B28" s="17"/>
    </row>
    <row r="29" spans="1:2" x14ac:dyDescent="0.45">
      <c r="A29" s="17"/>
      <c r="B29" s="17"/>
    </row>
    <row r="30" spans="1:2" x14ac:dyDescent="0.45">
      <c r="A30" s="17"/>
      <c r="B30" s="17"/>
    </row>
    <row r="31" spans="1:2" x14ac:dyDescent="0.45">
      <c r="A31" s="17"/>
      <c r="B31" s="17"/>
    </row>
    <row r="32" spans="1:2" x14ac:dyDescent="0.45">
      <c r="A32" s="17"/>
      <c r="B32" s="17"/>
    </row>
    <row r="33" spans="1:2" x14ac:dyDescent="0.45">
      <c r="A33" s="17"/>
      <c r="B33" s="17"/>
    </row>
    <row r="34" spans="1:2" x14ac:dyDescent="0.45">
      <c r="A34" s="17"/>
      <c r="B34" s="17"/>
    </row>
    <row r="35" spans="1:2" x14ac:dyDescent="0.45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2025-02-25T15:10:27Z</dcterms:modified>
</cp:coreProperties>
</file>