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orozxy\Documents\GitHub\uterusone\Berechnungshilfen\Excel\GB Grundbau\"/>
    </mc:Choice>
  </mc:AlternateContent>
  <xr:revisionPtr revIDLastSave="0" documentId="13_ncr:1_{C295B71D-56E1-4600-A3AA-7F2E23667E17}" xr6:coauthVersionLast="47" xr6:coauthVersionMax="47" xr10:uidLastSave="{00000000-0000-0000-0000-000000000000}"/>
  <bookViews>
    <workbookView xWindow="-30012" yWindow="216" windowWidth="27468" windowHeight="16200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NDE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" l="1"/>
  <c r="Q3" i="1"/>
  <c r="O3" i="1"/>
  <c r="N3" i="1"/>
  <c r="H41" i="1"/>
  <c r="G7" i="1"/>
  <c r="G8" i="1"/>
  <c r="G21" i="1"/>
  <c r="G22" i="1"/>
  <c r="G23" i="1"/>
  <c r="G24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39" i="1"/>
  <c r="G41" i="1"/>
  <c r="G11" i="1"/>
  <c r="G12" i="1"/>
  <c r="G13" i="1"/>
  <c r="G14" i="1"/>
  <c r="G15" i="1"/>
  <c r="G16" i="1"/>
  <c r="G17" i="1"/>
  <c r="G18" i="1"/>
  <c r="G19" i="1"/>
  <c r="G9" i="1"/>
  <c r="M2" i="1"/>
  <c r="Q2" i="1"/>
  <c r="H55" i="1"/>
  <c r="G55" i="1"/>
  <c r="D61" i="1" l="1"/>
  <c r="D60" i="1"/>
  <c r="H7" i="1"/>
  <c r="H29" i="1"/>
  <c r="H31" i="1"/>
  <c r="H34" i="1"/>
  <c r="H37" i="1"/>
  <c r="H38" i="1"/>
  <c r="H39" i="1"/>
  <c r="H30" i="1" l="1"/>
  <c r="H8" i="1"/>
  <c r="D40" i="1"/>
  <c r="H9" i="1" l="1"/>
  <c r="H11" i="1" s="1"/>
  <c r="H53" i="1"/>
  <c r="G53" i="1"/>
  <c r="H54" i="1"/>
  <c r="G54" i="1"/>
  <c r="M3" i="1" l="1"/>
  <c r="D7" i="1" s="1"/>
  <c r="H12" i="1" s="1"/>
  <c r="F42" i="1"/>
  <c r="H13" i="1" l="1"/>
  <c r="H14" i="1" s="1"/>
  <c r="F43" i="1"/>
  <c r="G56" i="1" a="1"/>
  <c r="G56" i="1" l="1"/>
  <c r="D62" i="1"/>
  <c r="H26" i="1" l="1"/>
  <c r="H28" i="1" l="1"/>
  <c r="H33" i="1"/>
  <c r="H35" i="1"/>
  <c r="H36" i="1" l="1"/>
  <c r="H32" i="1"/>
  <c r="J39" i="1" s="1"/>
  <c r="D27" i="1" s="1"/>
  <c r="H25" i="1"/>
  <c r="B27" i="1" l="1"/>
  <c r="H15" i="1"/>
  <c r="H16" i="1" l="1"/>
  <c r="H17" i="1" l="1"/>
  <c r="H18" i="1" l="1"/>
  <c r="J9" i="1" l="1"/>
  <c r="H19" i="1"/>
  <c r="H21" i="1" l="1"/>
  <c r="H22" i="1" l="1"/>
  <c r="D10" i="1"/>
  <c r="H23" i="1" l="1"/>
  <c r="H24" i="1" l="1"/>
  <c r="J19" i="1" s="1"/>
  <c r="G42" i="1"/>
  <c r="D65" i="1" a="1"/>
  <c r="D63" i="1" a="1"/>
  <c r="D63" i="1" l="1"/>
  <c r="D65" i="1"/>
  <c r="D20" i="1"/>
  <c r="B10" i="1"/>
  <c r="R3" i="1"/>
  <c r="G43" i="1"/>
  <c r="H43" i="1" s="1"/>
  <c r="P2" i="1"/>
  <c r="N2" i="1"/>
  <c r="O2" i="1"/>
  <c r="J26" i="1"/>
  <c r="R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<sst xmlns="http://schemas.openxmlformats.org/spreadsheetml/2006/main" count="51" uniqueCount="50">
  <si>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</si>
  <si>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</si>
  <si>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</si>
  <si>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</si>
  <si>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</si>
  <si>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</si>
  <si>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</si>
  <si>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</si>
  <si>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</si>
  <si>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</si>
  <si>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</si>
  <si>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</si>
  <si>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</si>
  <si>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</si>
  <si>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</si>
  <si>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</si>
  <si>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</si>
  <si>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</si>
  <si>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</si>
  <si>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</si>
  <si>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</si>
  <si>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</si>
  <si>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</si>
  <si>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</si>
  <si>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</si>
  <si>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</si>
  <si>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</si>
  <si>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</si>
  <si>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</si>
  <si>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</si>
  <si>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</si>
  <si>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</si>
  <si>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</si>
  <si>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</si>
  <si>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</si>
  <si>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</si>
  <si>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</si>
  <si>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</si>
  <si>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</si>
  <si>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</si>
  <si>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</si>
  <si>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</si>
  <si>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</si>
  <si>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</si>
  <si>
    <t>Methode 2 (Summe %)</t>
  </si>
  <si>
    <t>Methode 1 (Rückstand g)</t>
  </si>
  <si>
    <t>Summe</t>
  </si>
  <si>
    <t>0.060 + (10.000 - 11.600) * (0.020 - 0.060) ÷ (8.100 - 11.600) = 0.042</t>
  </si>
  <si>
    <t>2.000 + (30.000 - 30.500) * (1.000 - 2.000) ÷ (25.290 - 30.500) = 1.904</t>
  </si>
  <si>
    <t>16.000 + (60.000 - 63.590) * (11.200 - 16.000) ÷ (54.610 - 63.590) = 14.081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</si>
</sst>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60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6" xfId="0" applyFont="1" applyFill="1" applyBorder="1" applyAlignment="1">
      <alignment horizontal="center" vertical="center"/>
    </xf>
    <xf numFmtId="0" fontId="3" fillId="0" borderId="30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3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7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4" fontId="3" fillId="0" borderId="21" xfId="0" applyNumberFormat="1" applyFont="1" applyBorder="1"/>
    <xf numFmtId="0" fontId="9" fillId="0" borderId="17" xfId="0" applyFont="1" applyBorder="1" applyAlignment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2" borderId="23" xfId="1" applyFont="1" applyBorder="1" applyProtection="1">
      <protection locked="0"/>
    </xf>
    <xf numFmtId="0" fontId="7" fillId="2" borderId="24" xfId="1" applyFont="1" applyBorder="1" applyProtection="1">
      <protection locked="0"/>
    </xf>
    <xf numFmtId="0" fontId="7" fillId="2" borderId="54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9" xfId="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8" borderId="21" xfId="0" applyFont="1" applyFill="1" applyBorder="1" applyAlignment="1">
      <alignment horizontal="right"/>
    </xf>
    <xf numFmtId="0" fontId="0" fillId="0" borderId="17" xfId="0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6" fontId="0" fillId="0" borderId="52" xfId="0" applyNumberFormat="1" applyBorder="1"/>
    <xf numFmtId="166" fontId="0" fillId="8" borderId="55" xfId="0" applyNumberFormat="1" applyFill="1" applyBorder="1"/>
    <xf numFmtId="0" fontId="0" fillId="0" borderId="55" xfId="0" applyBorder="1" applyAlignment="1">
      <alignment horizontal="right"/>
    </xf>
    <xf numFmtId="165" fontId="0" fillId="0" borderId="0" xfId="0" applyNumberFormat="1"/>
    <xf numFmtId="166" fontId="3" fillId="8" borderId="53" xfId="0" applyNumberFormat="1" applyFont="1" applyFill="1" applyBorder="1" applyAlignment="1">
      <alignment horizontal="center"/>
    </xf>
    <xf numFmtId="4" fontId="0" fillId="8" borderId="47" xfId="0" applyNumberFormat="1" applyFill="1" applyBorder="1"/>
    <xf numFmtId="4" fontId="0" fillId="8" borderId="56" xfId="0" applyNumberFormat="1" applyFill="1" applyBorder="1"/>
    <xf numFmtId="4" fontId="3" fillId="0" borderId="57" xfId="0" applyNumberFormat="1" applyFont="1" applyBorder="1"/>
    <xf numFmtId="2" fontId="1" fillId="3" borderId="42" xfId="2" applyNumberFormat="1" applyFont="1" applyBorder="1" applyAlignment="1" applyProtection="1">
      <alignment horizontal="right" vertical="center"/>
    </xf>
    <xf numFmtId="2" fontId="1" fillId="7" borderId="14" xfId="2" applyNumberFormat="1" applyFont="1" applyFill="1" applyBorder="1" applyAlignment="1" applyProtection="1">
      <alignment horizontal="right" vertical="center"/>
    </xf>
    <xf numFmtId="2" fontId="1" fillId="3" borderId="12" xfId="2" applyNumberFormat="1" applyFont="1" applyBorder="1" applyAlignment="1" applyProtection="1">
      <alignment horizontal="right" vertical="center"/>
    </xf>
    <xf numFmtId="2" fontId="1" fillId="3" borderId="50" xfId="2" applyNumberFormat="1" applyFont="1" applyBorder="1" applyAlignment="1" applyProtection="1">
      <alignment horizontal="right" vertical="center"/>
    </xf>
    <xf numFmtId="2" fontId="1" fillId="3" borderId="37" xfId="2" applyNumberFormat="1" applyFont="1" applyBorder="1" applyAlignment="1" applyProtection="1">
      <alignment horizontal="right" vertical="center"/>
    </xf>
    <xf numFmtId="0" fontId="14" fillId="0" borderId="0" xfId="0" applyFont="1"/>
    <xf numFmtId="4" fontId="14" fillId="0" borderId="0" xfId="0" applyNumberFormat="1" applyFont="1"/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2" fontId="1" fillId="3" borderId="40" xfId="2" applyNumberFormat="1" applyFont="1" applyBorder="1" applyAlignment="1" applyProtection="1">
      <alignment horizontal="right" vertical="center"/>
    </xf>
    <xf numFmtId="0" fontId="0" fillId="6" borderId="44" xfId="1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left" vertical="top" wrapText="1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3" fillId="10" borderId="21" xfId="0" applyFont="1" applyFill="1" applyBorder="1" applyAlignment="1">
      <alignment horizontal="center" vertical="center" textRotation="90"/>
    </xf>
    <xf numFmtId="0" fontId="3" fillId="10" borderId="22" xfId="0" applyFont="1" applyFill="1" applyBorder="1" applyAlignment="1">
      <alignment horizontal="center" vertical="center" textRotation="90"/>
    </xf>
    <xf numFmtId="2" fontId="0" fillId="3" borderId="26" xfId="2" applyNumberFormat="1" applyFont="1" applyBorder="1" applyAlignment="1" applyProtection="1">
      <alignment horizontal="center" vertical="center"/>
    </xf>
    <xf numFmtId="2" fontId="0" fillId="3" borderId="27" xfId="2" applyNumberFormat="1" applyFont="1" applyBorder="1" applyAlignment="1" applyProtection="1">
      <alignment horizontal="center" vertical="center"/>
    </xf>
    <xf numFmtId="2" fontId="0" fillId="3" borderId="31" xfId="2" applyNumberFormat="1" applyFont="1" applyBorder="1" applyAlignment="1" applyProtection="1">
      <alignment horizontal="center" vertical="center"/>
    </xf>
    <xf numFmtId="0" fontId="0" fillId="8" borderId="8" xfId="0" applyFill="1" applyBorder="1" applyAlignment="1">
      <alignment horizontal="right"/>
    </xf>
    <xf numFmtId="2" fontId="1" fillId="7" borderId="40" xfId="2" applyNumberFormat="1" applyFont="1" applyFill="1" applyBorder="1" applyAlignment="1" applyProtection="1">
      <alignment horizontal="right" vertical="center"/>
    </xf>
    <xf numFmtId="2" fontId="1" fillId="7" borderId="41" xfId="2" applyNumberFormat="1" applyFont="1" applyFill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7" borderId="13" xfId="2" applyNumberFormat="1" applyFont="1" applyFill="1" applyBorder="1" applyAlignment="1" applyProtection="1">
      <alignment horizontal="right" vertical="center"/>
    </xf>
    <xf numFmtId="0" fontId="3" fillId="9" borderId="7" xfId="0" applyFont="1" applyFill="1" applyBorder="1" applyAlignment="1">
      <alignment horizontal="center" vertical="center" wrapText="1"/>
    </xf>
    <xf numFmtId="0" fontId="3" fillId="9" borderId="9" xfId="0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0" fontId="0" fillId="6" borderId="44" xfId="1" applyNumberFormat="1" applyFont="1" applyFill="1" applyBorder="1" applyAlignment="1" applyProtection="1">
      <alignment horizontal="right" vertical="center"/>
      <protection locked="0"/>
    </xf>
    <xf numFmtId="0" fontId="0" fillId="6" borderId="45" xfId="1" applyNumberFormat="1" applyFont="1" applyFill="1" applyBorder="1" applyAlignment="1" applyProtection="1">
      <alignment horizontal="right" vertical="center"/>
      <protection locked="0"/>
    </xf>
    <xf numFmtId="0" fontId="0" fillId="0" borderId="19" xfId="0" applyBorder="1" applyAlignment="1">
      <alignment horizontal="right"/>
    </xf>
    <xf numFmtId="2" fontId="1" fillId="3" borderId="40" xfId="2" applyNumberFormat="1" applyFont="1" applyBorder="1" applyAlignment="1" applyProtection="1">
      <alignment horizontal="right" vertical="center"/>
    </xf>
    <xf numFmtId="2" fontId="1" fillId="3" borderId="41" xfId="2" applyNumberFormat="1" applyFont="1" applyBorder="1" applyAlignment="1" applyProtection="1">
      <alignment horizontal="right" vertical="center"/>
    </xf>
    <xf numFmtId="2" fontId="1" fillId="3" borderId="12" xfId="2" applyNumberFormat="1" applyFont="1" applyBorder="1" applyAlignment="1" applyProtection="1">
      <alignment horizontal="right" vertical="center"/>
    </xf>
    <xf numFmtId="2" fontId="1" fillId="3" borderId="13" xfId="2" applyNumberFormat="1" applyFont="1" applyBorder="1" applyAlignment="1" applyProtection="1">
      <alignment horizontal="right" vertical="center"/>
    </xf>
    <xf numFmtId="2" fontId="3" fillId="9" borderId="7" xfId="0" applyNumberFormat="1" applyFont="1" applyFill="1" applyBorder="1" applyAlignment="1">
      <alignment horizontal="center" vertical="center" wrapText="1"/>
    </xf>
    <xf numFmtId="0" fontId="0" fillId="8" borderId="19" xfId="0" applyFill="1" applyBorder="1" applyAlignment="1">
      <alignment horizontal="right"/>
    </xf>
    <xf numFmtId="0" fontId="11" fillId="9" borderId="17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12" fillId="9" borderId="21" xfId="0" applyFont="1" applyFill="1" applyBorder="1" applyAlignment="1">
      <alignment horizontal="center" vertical="center" wrapText="1"/>
    </xf>
    <xf numFmtId="0" fontId="12" fillId="9" borderId="25" xfId="0" applyFont="1" applyFill="1" applyBorder="1" applyAlignment="1">
      <alignment horizontal="center" vertical="center" wrapText="1"/>
    </xf>
    <xf numFmtId="0" fontId="12" fillId="9" borderId="22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52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2" fontId="0" fillId="7" borderId="55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2" fontId="0" fillId="7" borderId="53" xfId="2" applyNumberFormat="1" applyFont="1" applyFill="1" applyBorder="1" applyAlignment="1" applyProtection="1">
      <alignment horizontal="center" vertical="center"/>
    </xf>
    <xf numFmtId="2" fontId="0" fillId="7" borderId="25" xfId="2" applyNumberFormat="1" applyFont="1" applyFill="1" applyBorder="1" applyAlignment="1" applyProtection="1">
      <alignment horizontal="center" vertical="center"/>
    </xf>
    <xf numFmtId="2" fontId="0" fillId="7" borderId="22" xfId="2" applyNumberFormat="1" applyFont="1" applyFill="1" applyBorder="1" applyAlignment="1" applyProtection="1">
      <alignment horizontal="center" vertical="center"/>
    </xf>
    <xf numFmtId="166" fontId="0" fillId="0" borderId="52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4" fontId="3" fillId="3" borderId="38" xfId="2" applyNumberFormat="1" applyFont="1" applyBorder="1" applyAlignment="1">
      <alignment horizontal="left" vertical="center"/>
    </xf>
    <xf numFmtId="4" fontId="3" fillId="3" borderId="48" xfId="2" applyNumberFormat="1" applyFont="1" applyBorder="1" applyAlignment="1">
      <alignment horizontal="left" vertical="center"/>
    </xf>
    <xf numFmtId="4" fontId="3" fillId="3" borderId="49" xfId="2" applyNumberFormat="1" applyFont="1" applyBorder="1" applyAlignment="1">
      <alignment horizontal="left" vertical="center"/>
    </xf>
    <xf numFmtId="0" fontId="3" fillId="3" borderId="39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4" xfId="2" applyFont="1" applyBorder="1" applyAlignment="1">
      <alignment horizontal="left" vertical="center"/>
    </xf>
    <xf numFmtId="0" fontId="3" fillId="3" borderId="50" xfId="2" applyFont="1" applyBorder="1" applyAlignment="1">
      <alignment horizontal="left" vertical="center"/>
    </xf>
    <xf numFmtId="0" fontId="3" fillId="3" borderId="51" xfId="2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166" fontId="0" fillId="8" borderId="55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53" xfId="0" applyNumberFormat="1" applyFill="1" applyBorder="1" applyAlignment="1">
      <alignment horizontal="center"/>
    </xf>
    <xf numFmtId="166" fontId="0" fillId="8" borderId="15" xfId="0" applyNumberFormat="1" applyFill="1" applyBorder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5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20" xfId="2" applyNumberFormat="1" applyFont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3" borderId="35" xfId="2" applyNumberFormat="1" applyFont="1" applyBorder="1" applyAlignment="1" applyProtection="1">
      <alignment horizontal="center" vertical="center"/>
    </xf>
    <xf numFmtId="2" fontId="0" fillId="3" borderId="36" xfId="2" applyNumberFormat="1" applyFont="1" applyBorder="1" applyAlignment="1" applyProtection="1">
      <alignment horizontal="center" vertical="center"/>
    </xf>
    <xf numFmtId="2" fontId="0" fillId="7" borderId="28" xfId="2" applyNumberFormat="1" applyFont="1" applyFill="1" applyBorder="1" applyAlignment="1" applyProtection="1">
      <alignment horizontal="center" vertical="center"/>
    </xf>
    <xf numFmtId="2" fontId="0" fillId="7" borderId="29" xfId="2" applyNumberFormat="1" applyFont="1" applyFill="1" applyBorder="1" applyAlignment="1" applyProtection="1">
      <alignment horizontal="center" vertical="center"/>
    </xf>
    <xf numFmtId="2" fontId="0" fillId="7" borderId="32" xfId="2" applyNumberFormat="1" applyFont="1" applyFill="1" applyBorder="1" applyAlignment="1" applyProtection="1">
      <alignment horizontal="center" vertical="center"/>
    </xf>
    <xf numFmtId="0" fontId="0" fillId="0" borderId="0" xfId="0" applyFont="1"/>
    <xf numFmtId="0" fontId="0" fillId="0" borderId="0" xfId="0" applyBorder="1"/>
    <xf numFmtId="0" fontId="0" fillId="2" borderId="58" xfId="1" applyNumberFormat="1" applyFont="1" applyBorder="1" applyAlignment="1" applyProtection="1">
      <alignment horizontal="right" vertical="center"/>
      <protection locked="0"/>
    </xf>
    <xf numFmtId="0" fontId="0" fillId="2" borderId="44" xfId="1" applyFont="1" applyBorder="1" applyAlignment="1" applyProtection="1">
      <alignment horizontal="right" vertical="center"/>
      <protection locked="0"/>
    </xf>
    <xf numFmtId="0" fontId="0" fillId="2" borderId="45" xfId="1" applyFont="1" applyBorder="1" applyAlignment="1" applyProtection="1">
      <alignment horizontal="right" vertical="center"/>
      <protection locked="0"/>
    </xf>
    <xf numFmtId="0" fontId="0" fillId="6" borderId="43" xfId="1" applyNumberFormat="1" applyFont="1" applyFill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0" fontId="0" fillId="2" borderId="45" xfId="1" applyFont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0" fontId="7" fillId="5" borderId="18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8" fillId="6" borderId="18" xfId="1" applyNumberFormat="1" applyFont="1" applyFill="1" applyBorder="1" applyAlignment="1" applyProtection="1">
      <alignment horizontal="right" vertical="center"/>
      <protection locked="0"/>
    </xf>
    <xf numFmtId="0" fontId="8" fillId="6" borderId="59" xfId="1" applyNumberFormat="1" applyFont="1" applyFill="1" applyBorder="1" applyAlignment="1" applyProtection="1">
      <alignment horizontal="right" vertical="center"/>
      <protection locked="0"/>
    </xf>
    <xf numFmtId="0" fontId="8" fillId="2" borderId="60" xfId="1" applyFont="1" applyBorder="1" applyAlignment="1" applyProtection="1">
      <alignment horizontal="right" vertical="center"/>
      <protection locked="0"/>
    </xf>
    <xf numFmtId="0" fontId="8" fillId="6" borderId="60" xfId="1" applyNumberFormat="1" applyFont="1" applyFill="1" applyBorder="1" applyAlignment="1" applyProtection="1">
      <alignment horizontal="right" vertical="center"/>
      <protection locked="0"/>
    </xf>
    <xf numFmtId="0" fontId="8" fillId="6" borderId="61" xfId="1" applyNumberFormat="1" applyFont="1" applyFill="1" applyBorder="1" applyAlignment="1" applyProtection="1">
      <alignment horizontal="right" vertical="center"/>
      <protection locked="0"/>
    </xf>
    <xf numFmtId="0" fontId="8" fillId="2" borderId="62" xfId="1" applyFont="1" applyBorder="1" applyAlignment="1" applyProtection="1">
      <alignment horizontal="right" vertical="center"/>
      <protection locked="0"/>
    </xf>
    <xf numFmtId="2" fontId="1" fillId="3" borderId="63" xfId="2" applyNumberFormat="1" applyFont="1" applyBorder="1" applyAlignment="1" applyProtection="1">
      <alignment horizontal="right" vertical="center"/>
    </xf>
    <xf numFmtId="2" fontId="1" fillId="7" borderId="64" xfId="2" applyNumberFormat="1" applyFont="1" applyFill="1" applyBorder="1" applyAlignment="1" applyProtection="1">
      <alignment horizontal="right" vertical="center"/>
    </xf>
    <xf numFmtId="0" fontId="14" fillId="0" borderId="0" xfId="0" applyFont="1" applyAlignment="1">
      <alignment horizontal="center"/>
    </xf>
    <xf numFmtId="2" fontId="14" fillId="0" borderId="0" xfId="0" applyNumberFormat="1" applyFont="1"/>
    <xf numFmtId="0" fontId="14" fillId="0" borderId="19" xfId="0" applyFont="1" applyBorder="1" applyAlignment="1">
      <alignment horizontal="center"/>
    </xf>
  </cellXfs>
  <cellStyles count="4">
    <cellStyle name="Hyperlink" xfId="3" builtinId="8"/>
    <cellStyle name="Input" xfId="1" builtinId="20"/>
    <cellStyle name="Normal" xfId="0" builtinId="0"/>
    <cellStyle name="Note" xfId="2" builtinId="1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20"/>
              <c:pt idx="0">
                <c:v>2E-3</c:v>
              </c:pt>
              <c:pt idx="1">
                <c:v>0.02</c:v>
              </c:pt>
              <c:pt idx="2">
                <c:v>4.2000000000000003E-2</c:v>
              </c:pt>
              <c:pt idx="3">
                <c:v>0.06</c:v>
              </c:pt>
              <c:pt idx="4">
                <c:v>0.2</c:v>
              </c:pt>
              <c:pt idx="5">
                <c:v>0.25</c:v>
              </c:pt>
              <c:pt idx="6">
                <c:v>0.5</c:v>
              </c:pt>
              <c:pt idx="7">
                <c:v>1</c:v>
              </c:pt>
              <c:pt idx="8">
                <c:v>1.9039999999999999</c:v>
              </c:pt>
              <c:pt idx="9">
                <c:v>2</c:v>
              </c:pt>
              <c:pt idx="10">
                <c:v>4</c:v>
              </c:pt>
              <c:pt idx="11">
                <c:v>5.6</c:v>
              </c:pt>
              <c:pt idx="12">
                <c:v>8</c:v>
              </c:pt>
              <c:pt idx="13">
                <c:v>11.2</c:v>
              </c:pt>
              <c:pt idx="14">
                <c:v>14.081</c:v>
              </c:pt>
              <c:pt idx="15">
                <c:v>16</c:v>
              </c:pt>
              <c:pt idx="16">
                <c:v>22.4</c:v>
              </c:pt>
              <c:pt idx="17">
                <c:v>31.5</c:v>
              </c:pt>
              <c:pt idx="18">
                <c:v>45</c:v>
              </c:pt>
              <c:pt idx="19">
                <c:v>63</c:v>
              </c:pt>
            </c:numLit>
          </c:cat>
          <c:val>
            <c:numLit>
              <c:formatCode>General</c:formatCode>
              <c:ptCount val="20"/>
              <c:pt idx="0">
                <c:v>2.6</c:v>
              </c:pt>
              <c:pt idx="1">
                <c:v>8.1</c:v>
              </c:pt>
              <c:pt idx="2">
                <c:v>10</c:v>
              </c:pt>
              <c:pt idx="3">
                <c:v>11.6</c:v>
              </c:pt>
              <c:pt idx="4">
                <c:v>15.3</c:v>
              </c:pt>
              <c:pt idx="5">
                <c:v>16.190000000000001</c:v>
              </c:pt>
              <c:pt idx="6">
                <c:v>20.61</c:v>
              </c:pt>
              <c:pt idx="7">
                <c:v>25.29</c:v>
              </c:pt>
              <c:pt idx="8">
                <c:v>30</c:v>
              </c:pt>
              <c:pt idx="9">
                <c:v>30.5</c:v>
              </c:pt>
              <c:pt idx="10">
                <c:v>37.119999999999997</c:v>
              </c:pt>
              <c:pt idx="11">
                <c:v>41.14</c:v>
              </c:pt>
              <c:pt idx="12">
                <c:v>47.45</c:v>
              </c:pt>
              <c:pt idx="13">
                <c:v>54.61</c:v>
              </c:pt>
              <c:pt idx="14">
                <c:v>60</c:v>
              </c:pt>
              <c:pt idx="15">
                <c:v>63.59</c:v>
              </c:pt>
              <c:pt idx="16">
                <c:v>73.3</c:v>
              </c:pt>
              <c:pt idx="17">
                <c:v>81.239999999999995</c:v>
              </c:pt>
              <c:pt idx="18">
                <c:v>87.19</c:v>
              </c:pt>
              <c:pt idx="19">
                <c:v>94.77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191866</xdr:colOff>
      <xdr:row>5</xdr:row>
      <xdr:rowOff>8689</xdr:rowOff>
    </xdr:from>
    <xdr:to>
      <xdr:col>35</xdr:col>
      <xdr:colOff>218373</xdr:colOff>
      <xdr:row>41</xdr:row>
      <xdr:rowOff>13204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S84"/>
  <sheetViews>
    <sheetView showGridLines="0" tabSelected="1" topLeftCell="A19" zoomScale="85" zoomScaleNormal="85" workbookViewId="0">
      <selection activeCell="F32" sqref="F32"/>
    </sheetView>
  </sheetViews>
  <sheetFormatPr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  <col min="12" max="12" width="21.5546875" bestFit="1" customWidth="1"/>
    <col min="13" max="18" width="8.44140625" customWidth="1"/>
  </cols>
  <sheetData>
    <row r="1" spans="1:19" ht="18.600000000000001" thickBot="1" x14ac:dyDescent="0.4">
      <c r="A1" s="1" t="s">
        <v>8</v>
      </c>
      <c r="B1" s="2"/>
      <c r="C1" s="2"/>
      <c r="D1" s="2"/>
      <c r="E1" s="3"/>
      <c r="F1" s="3"/>
      <c r="G1" s="54"/>
      <c r="H1" s="3"/>
      <c r="I1" s="3"/>
      <c r="J1" s="4" t="s">
        <v>5</v>
      </c>
      <c r="K1" s="11"/>
      <c r="L1" s="52"/>
      <c r="M1" s="52" t="s">
        <v>41</v>
      </c>
      <c r="N1" s="52" t="s">
        <v>37</v>
      </c>
      <c r="O1" s="52" t="s">
        <v>38</v>
      </c>
      <c r="P1" s="52" t="s">
        <v>39</v>
      </c>
      <c r="Q1" s="52" t="s">
        <v>40</v>
      </c>
      <c r="R1" s="52" t="s">
        <v>46</v>
      </c>
      <c r="S1" s="52"/>
    </row>
    <row r="2" spans="1:19" ht="15" thickBot="1" x14ac:dyDescent="0.35">
      <c r="H2" s="137"/>
      <c r="I2" s="137"/>
      <c r="J2" s="137"/>
      <c r="K2" s="11"/>
      <c r="L2" s="52" t="s">
        <v>45</v>
      </c>
      <c r="M2" s="53">
        <f>IF(OR(AND(ISNUMBER(F7), F7&gt;0), AND(ISNUMBER(F8), F8&gt;0)), G42/F42*(SUM(F7:F8)+F9/2), 0)</f>
        <v>0</v>
      </c>
      <c r="N2" s="53">
        <f>G42/F42*(SUM(F11:F18) + IF(OR(AND(ISNUMBER(F7), F7&gt;0), AND(ISNUMBER(F8), F8&gt;0)), F9/2, F9) + IF(SUM(F21:F25)&gt;0, F19/2, F19))</f>
        <v>76.115882949186911</v>
      </c>
      <c r="O2" s="53">
        <f>G42/F42*(SUM(F21:F25) + IF(SUM(F11:F18)&gt;0, F19/2, F19) + IF(SUM(F28:F38)&gt;0, F26/2, F26))</f>
        <v>21.284117050813098</v>
      </c>
      <c r="P2" s="53">
        <f>G42/F42*(SUM(F28:F38) + IF(SUM(F21:F25)&gt;0, F26/2, F26) + IF(AND(ISNUMBER(F41), F41&gt;0), F39/2, F39))</f>
        <v>0</v>
      </c>
      <c r="Q2" s="53">
        <f>IF(AND(ISNUMBER(F41), F41&gt;0), G42/F42*(F41+F39/2), 0)</f>
        <v>0</v>
      </c>
      <c r="R2" s="53">
        <f>SUM(M2:Q2)</f>
        <v>97.4</v>
      </c>
      <c r="S2" s="52"/>
    </row>
    <row r="3" spans="1:19" ht="15" thickBot="1" x14ac:dyDescent="0.35">
      <c r="C3" s="6"/>
      <c r="D3" s="12" t="s">
        <v>27</v>
      </c>
      <c r="E3" s="12" t="s">
        <v>15</v>
      </c>
      <c r="F3" s="12" t="s">
        <v>14</v>
      </c>
      <c r="G3" s="22" t="s">
        <v>25</v>
      </c>
      <c r="H3" s="137"/>
      <c r="K3" s="11"/>
      <c r="L3" s="52" t="s">
        <v>44</v>
      </c>
      <c r="M3" s="158">
        <f>(MAX(H7:H10)-MIN(H7:H10))</f>
        <v>0</v>
      </c>
      <c r="N3" s="158">
        <f>(MAX(H9:H20:J9)-MIN(H9:H20:J19))</f>
        <v>65.539380365808128</v>
      </c>
      <c r="O3" s="158">
        <f>(MAX(H19:H27:J19)-MIN(H19:H27:J26))</f>
        <v>18.72939500961898</v>
      </c>
      <c r="P3" s="158">
        <f>(MAX(H26:H40:J26)-MIN(H26:H40:J39))</f>
        <v>9.170791627185805</v>
      </c>
      <c r="Q3" s="158">
        <f>(MAX(H39:H41))</f>
        <v>2.6</v>
      </c>
      <c r="R3" s="53">
        <f>SUM(M3:Q3)</f>
        <v>96.039567002612912</v>
      </c>
      <c r="S3" s="52"/>
    </row>
    <row r="4" spans="1:19" ht="15" thickBot="1" x14ac:dyDescent="0.35">
      <c r="D4" s="23">
        <v>26790</v>
      </c>
      <c r="E4" s="24">
        <v>22</v>
      </c>
      <c r="F4" s="24">
        <v>13.6</v>
      </c>
      <c r="G4" s="25" t="s">
        <v>22</v>
      </c>
      <c r="H4" s="137"/>
      <c r="K4" s="11"/>
      <c r="L4" s="52"/>
      <c r="M4" s="52"/>
      <c r="N4" s="52"/>
      <c r="O4" s="52"/>
      <c r="P4" s="158"/>
      <c r="Q4" s="52"/>
      <c r="R4" s="52"/>
      <c r="S4" s="52"/>
    </row>
    <row r="5" spans="1:19" ht="15" thickBot="1" x14ac:dyDescent="0.35">
      <c r="H5" s="137"/>
      <c r="I5" s="137"/>
      <c r="J5" s="137"/>
      <c r="K5" s="11"/>
      <c r="L5" s="11"/>
      <c r="M5" s="11"/>
      <c r="N5" s="11"/>
      <c r="O5" s="11"/>
      <c r="P5" s="11"/>
      <c r="Q5" s="11"/>
      <c r="R5" s="11"/>
      <c r="S5" s="11"/>
    </row>
    <row r="6" spans="1:19" ht="15" thickBot="1" x14ac:dyDescent="0.3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52"/>
      <c r="K6" s="52"/>
      <c r="L6" s="11"/>
      <c r="M6" s="11"/>
      <c r="N6" s="11"/>
      <c r="O6" s="11"/>
      <c r="P6" s="11"/>
      <c r="Q6" s="11"/>
      <c r="R6" s="11"/>
    </row>
    <row r="7" spans="1:19" ht="14.55" customHeight="1" x14ac:dyDescent="0.3">
      <c r="D7" s="83" t="str">
        <f>"Steine " &amp; TEXT(M3, "0.00") &amp; " %"</f>
        <v>Steine 0.00 %</v>
      </c>
      <c r="E7" s="30">
        <v>125</v>
      </c>
      <c r="F7" s="139"/>
      <c r="G7" s="155" t="str">
        <f t="shared" ref="G7:G8" si="0">IF(AND(ISNUMBER(F7), F7&lt;&gt;0, ISNUMBER($D$4), $D$4&gt;0), 100/$D$4*F7, "-")</f>
        <v>-</v>
      </c>
      <c r="H7" s="47" t="str">
        <f>IF(ISNUMBER(G7), 100 - G7, "-")</f>
        <v>-</v>
      </c>
      <c r="J7" s="52"/>
      <c r="K7" s="52"/>
      <c r="L7" s="11"/>
      <c r="M7" s="11"/>
      <c r="N7" s="11"/>
      <c r="O7" s="11"/>
      <c r="P7" s="11"/>
      <c r="Q7" s="11"/>
      <c r="R7" s="11"/>
    </row>
    <row r="8" spans="1:19" ht="14.55" customHeight="1" x14ac:dyDescent="0.3">
      <c r="D8" s="75"/>
      <c r="E8" s="31">
        <v>90</v>
      </c>
      <c r="F8" s="57"/>
      <c r="G8" s="156" t="str">
        <f t="shared" si="0"/>
        <v>-</v>
      </c>
      <c r="H8" s="48" t="str">
        <f>IF(ISNUMBER(G8), IF(ISNUMBER(H7), H7, IF(COUNT(H$7:H7)&gt;0, MIN(H$7:H7), 100)) - G8, "-")</f>
        <v>-</v>
      </c>
      <c r="I8" s="138"/>
      <c r="J8" s="52"/>
      <c r="K8" s="52"/>
      <c r="L8" s="11"/>
      <c r="M8" s="11"/>
      <c r="N8" s="11"/>
      <c r="O8" s="11"/>
      <c r="P8" s="11"/>
      <c r="Q8" s="11"/>
      <c r="R8" s="11"/>
    </row>
    <row r="9" spans="1:19" ht="7.2" customHeight="1" thickBot="1" x14ac:dyDescent="0.35">
      <c r="D9" s="74"/>
      <c r="E9" s="78">
        <v>63</v>
      </c>
      <c r="F9" s="140">
        <v>1400</v>
      </c>
      <c r="G9" s="79">
        <f>IF(AND(ISNUMBER(F9), F9&lt;&gt;0, ISNUMBER($D$4), $D$4&gt;0), 100/$D$4*F9, "-")</f>
        <v>5.2258305337812621</v>
      </c>
      <c r="H9" s="81">
        <f>IF(ISNUMBER(G9), IF(ISNUMBER(H8), H8, IF(COUNT(H$7:H8)&gt;0, MIN(H$7:H8), 100)) - G9, "-")</f>
        <v>94.774169466218737</v>
      </c>
      <c r="J9" s="157" t="str">
        <f>IF(AND(MIN(H7:H8)&gt;0, MIN(E7:E8)&gt;0, MAX(E11:E18)&gt;0, MAX(H11:H18)&gt;0), MIN(H7:H8) + ((E9 - MIN(E7:E8)) / (MAX(E11:E18) - MIN(E7:E8))) * (MAX(H11:H18) - MIN(H7:H8)), "-")</f>
        <v>-</v>
      </c>
      <c r="K9" s="52"/>
      <c r="L9" s="11"/>
      <c r="M9" s="11"/>
      <c r="N9" s="11"/>
      <c r="O9" s="11"/>
      <c r="P9" s="11"/>
      <c r="Q9" s="11"/>
      <c r="R9" s="11"/>
    </row>
    <row r="10" spans="1:19" ht="7.2" customHeight="1" x14ac:dyDescent="0.3">
      <c r="B10" s="59" t="str">
        <f>"Grobkörnig = " &amp; TEXT(N3+O3, "0.00") &amp; " %"</f>
        <v>Grobkörnig = 84.27 %</v>
      </c>
      <c r="C10" s="60"/>
      <c r="D10" s="73" t="str">
        <f>"Kies " &amp; TEXT(N3, "0.00") &amp; " %"</f>
        <v>Kies 65.54 %</v>
      </c>
      <c r="E10" s="78"/>
      <c r="F10" s="141"/>
      <c r="G10" s="80"/>
      <c r="H10" s="82"/>
      <c r="J10" s="157"/>
      <c r="K10" s="52"/>
      <c r="L10" s="11"/>
      <c r="M10" s="11"/>
      <c r="N10" s="11"/>
      <c r="O10" s="11"/>
      <c r="P10" s="11"/>
      <c r="Q10" s="11"/>
      <c r="R10" s="11"/>
    </row>
    <row r="11" spans="1:19" ht="14.55" customHeight="1" x14ac:dyDescent="0.3">
      <c r="B11" s="61"/>
      <c r="C11" s="62"/>
      <c r="D11" s="75"/>
      <c r="E11" s="31">
        <v>45</v>
      </c>
      <c r="F11" s="142">
        <v>2031</v>
      </c>
      <c r="G11" s="156">
        <f t="shared" ref="G10:G41" si="1">IF(AND(ISNUMBER(F11), F11&lt;&gt;0, ISNUMBER($D$4), $D$4&gt;0), 100/$D$4*F11, "-")</f>
        <v>7.5811870100783878</v>
      </c>
      <c r="H11" s="48">
        <f>IF(ISNUMBER(G11), IF(ISNUMBER(H9), H9, MIN(H$7:H10)) - G11, "-")</f>
        <v>87.192982456140356</v>
      </c>
      <c r="I11" s="138"/>
      <c r="J11" s="52"/>
      <c r="K11" s="52"/>
      <c r="L11" s="11"/>
      <c r="M11" s="11"/>
      <c r="N11" s="11"/>
      <c r="O11" s="11"/>
      <c r="P11" s="11"/>
      <c r="Q11" s="11"/>
      <c r="R11" s="11"/>
    </row>
    <row r="12" spans="1:19" ht="14.55" customHeight="1" x14ac:dyDescent="0.3">
      <c r="B12" s="61"/>
      <c r="C12" s="62"/>
      <c r="D12" s="75"/>
      <c r="E12" s="32">
        <v>31.5</v>
      </c>
      <c r="F12" s="143">
        <v>1595</v>
      </c>
      <c r="G12" s="56">
        <f t="shared" si="1"/>
        <v>5.9537140724150799</v>
      </c>
      <c r="H12" s="49">
        <f>IF(ISNUMBER(G12), IF(ISNUMBER(H11), H11, IF(COUNT(H$7:H11)&gt;0, MIN(H$7:H11), 100)) - G12, "-")</f>
        <v>81.239268383725275</v>
      </c>
      <c r="J12" s="52"/>
      <c r="K12" s="52"/>
      <c r="L12" s="11"/>
      <c r="M12" s="11"/>
      <c r="N12" s="11"/>
      <c r="O12" s="11"/>
      <c r="P12" s="11"/>
      <c r="Q12" s="11"/>
      <c r="R12" s="11"/>
    </row>
    <row r="13" spans="1:19" ht="14.55" customHeight="1" thickBot="1" x14ac:dyDescent="0.35">
      <c r="B13" s="61"/>
      <c r="C13" s="62"/>
      <c r="D13" s="75"/>
      <c r="E13" s="31">
        <v>22.4</v>
      </c>
      <c r="F13" s="142">
        <v>2127</v>
      </c>
      <c r="G13" s="156">
        <f t="shared" si="1"/>
        <v>7.9395296752519595</v>
      </c>
      <c r="H13" s="48">
        <f>IF(ISNUMBER(G13), IF(ISNUMBER(H12), H12, IF(COUNT(H$7:H12)&gt;0, MIN(H$7:H12), 100)) - G13, "-")</f>
        <v>73.299738708473313</v>
      </c>
      <c r="J13" s="52"/>
      <c r="K13" s="52"/>
      <c r="L13" s="11"/>
      <c r="M13" s="11"/>
      <c r="N13" s="11"/>
      <c r="O13" s="11"/>
      <c r="P13" s="11"/>
      <c r="Q13" s="11"/>
      <c r="R13" s="11"/>
    </row>
    <row r="14" spans="1:19" ht="14.55" customHeight="1" x14ac:dyDescent="0.3">
      <c r="B14" s="61"/>
      <c r="C14" s="62"/>
      <c r="D14" s="75"/>
      <c r="E14" s="32">
        <v>16</v>
      </c>
      <c r="F14" s="143">
        <v>2600</v>
      </c>
      <c r="G14" s="56">
        <f t="shared" si="1"/>
        <v>9.7051138484509138</v>
      </c>
      <c r="H14" s="49">
        <f>IF(ISNUMBER(G14), IF(ISNUMBER(H13), H13, IF(COUNT(H$7:H13)&gt;0, MIN(H$7:H13), 100)) - G14, "-")</f>
        <v>63.5946248600224</v>
      </c>
      <c r="I14" s="146" t="s">
        <v>42</v>
      </c>
      <c r="J14" s="52"/>
      <c r="K14" s="52"/>
      <c r="L14" s="11"/>
      <c r="M14" s="11"/>
      <c r="N14" s="11"/>
      <c r="O14" s="11"/>
      <c r="P14" s="11"/>
      <c r="Q14" s="11"/>
      <c r="R14" s="11"/>
    </row>
    <row r="15" spans="1:19" ht="14.55" customHeight="1" x14ac:dyDescent="0.3">
      <c r="B15" s="61"/>
      <c r="C15" s="62"/>
      <c r="D15" s="75"/>
      <c r="E15" s="31">
        <v>11.2</v>
      </c>
      <c r="F15" s="142">
        <v>2406</v>
      </c>
      <c r="G15" s="156">
        <f t="shared" si="1"/>
        <v>8.9809630459126542</v>
      </c>
      <c r="H15" s="48">
        <f>IF(ISNUMBER(G15), IF(ISNUMBER(H14), H14, IF(COUNT(H$7:H14)&gt;0, MIN(H$7:H14), 100)) - G15, "-")</f>
        <v>54.613661814109747</v>
      </c>
      <c r="I15" s="147"/>
      <c r="J15" s="52"/>
      <c r="K15" s="52"/>
      <c r="L15" s="11"/>
      <c r="M15" s="11"/>
      <c r="N15" s="11"/>
      <c r="O15" s="11"/>
      <c r="P15" s="11"/>
      <c r="Q15" s="11"/>
      <c r="R15" s="11"/>
    </row>
    <row r="16" spans="1:19" ht="14.55" customHeight="1" x14ac:dyDescent="0.3">
      <c r="B16" s="61"/>
      <c r="C16" s="62"/>
      <c r="D16" s="75"/>
      <c r="E16" s="32">
        <v>8</v>
      </c>
      <c r="F16" s="143">
        <v>1919</v>
      </c>
      <c r="G16" s="56">
        <f t="shared" si="1"/>
        <v>7.1631205673758869</v>
      </c>
      <c r="H16" s="49">
        <f>IF(ISNUMBER(G16), IF(ISNUMBER(H15), H15, IF(COUNT(H$7:H15)&gt;0, MIN(H$7:H15), 100)) - G16, "-")</f>
        <v>47.450541246733863</v>
      </c>
      <c r="I16" s="147"/>
      <c r="J16" s="52"/>
      <c r="K16" s="52"/>
      <c r="L16" s="11"/>
      <c r="M16" s="11"/>
      <c r="N16" s="11"/>
      <c r="O16" s="11"/>
      <c r="P16" s="11"/>
      <c r="Q16" s="11"/>
      <c r="R16" s="11"/>
    </row>
    <row r="17" spans="2:18" ht="14.55" customHeight="1" x14ac:dyDescent="0.3">
      <c r="B17" s="61"/>
      <c r="C17" s="62"/>
      <c r="D17" s="75"/>
      <c r="E17" s="31">
        <v>5.6</v>
      </c>
      <c r="F17" s="142">
        <v>1691</v>
      </c>
      <c r="G17" s="156">
        <f t="shared" si="1"/>
        <v>6.3120567375886525</v>
      </c>
      <c r="H17" s="48">
        <f>IF(ISNUMBER(G17), IF(ISNUMBER(H16), H16, IF(COUNT(H$7:H16)&gt;0, MIN(H$7:H16), 100)) - G17, "-")</f>
        <v>41.138484509145208</v>
      </c>
      <c r="I17" s="147"/>
      <c r="J17" s="52"/>
      <c r="K17" s="52"/>
      <c r="L17" s="11"/>
      <c r="M17" s="11"/>
      <c r="N17" s="11"/>
      <c r="O17" s="11"/>
      <c r="P17" s="11"/>
      <c r="Q17" s="11"/>
      <c r="R17" s="11"/>
    </row>
    <row r="18" spans="2:18" ht="14.55" customHeight="1" x14ac:dyDescent="0.3">
      <c r="B18" s="61"/>
      <c r="C18" s="62"/>
      <c r="D18" s="75"/>
      <c r="E18" s="32">
        <v>4</v>
      </c>
      <c r="F18" s="143">
        <v>1077</v>
      </c>
      <c r="G18" s="56">
        <f t="shared" si="1"/>
        <v>4.0201567749160132</v>
      </c>
      <c r="H18" s="49">
        <f>IF(ISNUMBER(G18), IF(ISNUMBER(H17), H17, IF(COUNT(H$7:H17)&gt;0, MIN(H$7:H17), 100)) - G18, "-")</f>
        <v>37.118327734229197</v>
      </c>
      <c r="I18" s="147"/>
      <c r="J18" s="158"/>
      <c r="K18" s="52"/>
      <c r="L18" s="11"/>
      <c r="M18" s="11"/>
      <c r="N18" s="11"/>
      <c r="O18" s="11"/>
      <c r="P18" s="11"/>
      <c r="Q18" s="11"/>
      <c r="R18" s="11"/>
    </row>
    <row r="19" spans="2:18" ht="7.2" customHeight="1" thickBot="1" x14ac:dyDescent="0.35">
      <c r="B19" s="61"/>
      <c r="C19" s="62"/>
      <c r="D19" s="74"/>
      <c r="E19" s="84">
        <v>2</v>
      </c>
      <c r="F19" s="76">
        <v>1773</v>
      </c>
      <c r="G19" s="69">
        <f t="shared" si="1"/>
        <v>6.6181410974244121</v>
      </c>
      <c r="H19" s="71">
        <f>IF(ISNUMBER(G19), IF(ISNUMBER(H18), H18, IF(COUNT(H$7:H18)&gt;0, MIN(H$7:H18), 100)) - G19, "-")</f>
        <v>30.500186636804784</v>
      </c>
      <c r="I19" s="147"/>
      <c r="J19" s="159">
        <f>IF(AND(MIN(H11:H18)&gt;0, MIN(E11:E18)&gt;0, MAX(E21:E25)&gt;0, MAX(H21:H24)&gt;0), MIN(H11:H18) + ((E19 - MIN(E11:E18)) / (MAX(E21:E25) - MIN(E11:E18))) * (MAX(H21:H24) - MIN(H11:H18)), "-")</f>
        <v>29.234789100410609</v>
      </c>
      <c r="K19" s="52"/>
      <c r="L19" s="11"/>
      <c r="M19" s="11"/>
      <c r="N19" s="11"/>
      <c r="O19" s="11"/>
      <c r="P19" s="11"/>
      <c r="Q19" s="11"/>
      <c r="R19" s="11"/>
    </row>
    <row r="20" spans="2:18" ht="7.2" customHeight="1" x14ac:dyDescent="0.3">
      <c r="B20" s="61"/>
      <c r="C20" s="62"/>
      <c r="D20" s="73" t="str">
        <f>"Sand " &amp; TEXT(O3, "0.00") &amp; " %"</f>
        <v>Sand 18.73 %</v>
      </c>
      <c r="E20" s="84"/>
      <c r="F20" s="77"/>
      <c r="G20" s="70"/>
      <c r="H20" s="72"/>
      <c r="I20" s="147"/>
      <c r="J20" s="159"/>
      <c r="K20" s="52"/>
      <c r="L20" s="11"/>
      <c r="M20" s="11"/>
      <c r="N20" s="11"/>
      <c r="O20" s="11"/>
      <c r="P20" s="11"/>
      <c r="Q20" s="11"/>
      <c r="R20" s="11"/>
    </row>
    <row r="21" spans="2:18" ht="14.55" customHeight="1" x14ac:dyDescent="0.3">
      <c r="B21" s="61"/>
      <c r="C21" s="62"/>
      <c r="D21" s="75"/>
      <c r="E21" s="32">
        <v>1</v>
      </c>
      <c r="F21" s="143">
        <v>1395</v>
      </c>
      <c r="G21" s="56">
        <f t="shared" si="1"/>
        <v>5.2071668533034714</v>
      </c>
      <c r="H21" s="49">
        <f>IF(ISNUMBER(G21), IF(ISNUMBER(H20), H20, IF(COUNT(H$7:H20)&gt;0, MIN(H$7:H20), 100)) - G21, "-")</f>
        <v>25.293019783501315</v>
      </c>
      <c r="I21" s="147"/>
      <c r="J21" s="52"/>
      <c r="K21" s="52"/>
      <c r="L21" s="11"/>
      <c r="M21" s="11"/>
      <c r="N21" s="11"/>
      <c r="O21" s="11"/>
      <c r="P21" s="11"/>
      <c r="Q21" s="11"/>
      <c r="R21" s="11"/>
    </row>
    <row r="22" spans="2:18" ht="14.55" customHeight="1" x14ac:dyDescent="0.3">
      <c r="B22" s="61"/>
      <c r="C22" s="62"/>
      <c r="D22" s="75"/>
      <c r="E22" s="31">
        <v>0.5</v>
      </c>
      <c r="F22" s="142">
        <v>1254</v>
      </c>
      <c r="G22" s="156">
        <f t="shared" si="1"/>
        <v>4.6808510638297873</v>
      </c>
      <c r="H22" s="48">
        <f>IF(ISNUMBER(G22), IF(ISNUMBER(H21), H21, IF(COUNT(H$7:H21)&gt;0, MIN(H$7:H21), 100)) - G22, "-")</f>
        <v>20.612168719671526</v>
      </c>
      <c r="I22" s="147"/>
      <c r="J22" s="52"/>
      <c r="K22" s="52"/>
      <c r="L22" s="11"/>
      <c r="M22" s="11"/>
      <c r="N22" s="11"/>
      <c r="O22" s="11"/>
      <c r="P22" s="11"/>
      <c r="Q22" s="11"/>
      <c r="R22" s="11"/>
    </row>
    <row r="23" spans="2:18" ht="14.55" customHeight="1" x14ac:dyDescent="0.3">
      <c r="B23" s="61"/>
      <c r="C23" s="62"/>
      <c r="D23" s="75"/>
      <c r="E23" s="32">
        <v>0.25</v>
      </c>
      <c r="F23" s="143">
        <v>1186</v>
      </c>
      <c r="G23" s="56">
        <f t="shared" si="1"/>
        <v>4.4270250093318406</v>
      </c>
      <c r="H23" s="49">
        <f>IF(ISNUMBER(G23), IF(ISNUMBER(H22), H22, IF(COUNT(H$7:H22)&gt;0, MIN(H$7:H22), 100)) - G23, "-")</f>
        <v>16.185143710339688</v>
      </c>
      <c r="I23" s="147"/>
      <c r="J23" s="52"/>
      <c r="K23" s="52"/>
      <c r="L23" s="11"/>
      <c r="M23" s="11"/>
      <c r="N23" s="11"/>
      <c r="O23" s="11"/>
      <c r="P23" s="11"/>
      <c r="Q23" s="11"/>
      <c r="R23" s="11"/>
    </row>
    <row r="24" spans="2:18" ht="14.55" customHeight="1" x14ac:dyDescent="0.3">
      <c r="B24" s="61"/>
      <c r="C24" s="62"/>
      <c r="D24" s="75"/>
      <c r="E24" s="31">
        <v>0.2</v>
      </c>
      <c r="F24" s="142">
        <v>237</v>
      </c>
      <c r="G24" s="156">
        <f t="shared" si="1"/>
        <v>0.88465845464725645</v>
      </c>
      <c r="H24" s="48">
        <f>IF(ISNUMBER(G24), IF(ISNUMBER(H23), H23, IF(COUNT(H$7:H23)&gt;0, MIN(H$7:H23), 100)) - G24, "-")</f>
        <v>15.300485255692431</v>
      </c>
      <c r="I24" s="147"/>
      <c r="J24" s="52"/>
      <c r="K24" s="52"/>
      <c r="L24" s="11"/>
      <c r="M24" s="11"/>
      <c r="N24" s="11"/>
      <c r="O24" s="11"/>
      <c r="P24" s="11"/>
      <c r="Q24" s="11"/>
      <c r="R24" s="11"/>
    </row>
    <row r="25" spans="2:18" ht="14.55" customHeight="1" thickBot="1" x14ac:dyDescent="0.35">
      <c r="B25" s="61"/>
      <c r="C25" s="62"/>
      <c r="D25" s="75"/>
      <c r="E25" s="32">
        <v>0.125</v>
      </c>
      <c r="F25" s="143"/>
      <c r="G25" s="56" t="str">
        <f t="shared" si="1"/>
        <v>-</v>
      </c>
      <c r="H25" s="49" t="str">
        <f>IF(ISNUMBER(G25), IF(ISNUMBER(H24), H24, IF(COUNT(H$7:H24)&gt;0, MIN(H$7:H24), 100)) - G25, "-")</f>
        <v>-</v>
      </c>
      <c r="I25" s="148"/>
      <c r="J25" s="158"/>
      <c r="K25" s="52"/>
      <c r="L25" s="11"/>
      <c r="M25" s="11"/>
      <c r="N25" s="11"/>
      <c r="O25" s="11"/>
      <c r="P25" s="11"/>
      <c r="Q25" s="11"/>
      <c r="R25" s="11"/>
    </row>
    <row r="26" spans="2:18" ht="7.2" customHeight="1" thickBot="1" x14ac:dyDescent="0.35">
      <c r="B26" s="63"/>
      <c r="C26" s="64"/>
      <c r="D26" s="74"/>
      <c r="E26" s="68">
        <v>6.3E-2</v>
      </c>
      <c r="F26" s="76"/>
      <c r="G26" s="69" t="str">
        <f t="shared" si="1"/>
        <v>-</v>
      </c>
      <c r="H26" s="71" t="str">
        <f>IF(ISNUMBER(I26), I26, IF(ISNUMBER(G26), IF(ISNUMBER(H25), H25, IF(COUNT(H$7:H25)&gt;0, MIN(H$7:H25), 100)) - G26, "-"))</f>
        <v>-</v>
      </c>
      <c r="I26" s="149"/>
      <c r="J26" s="159">
        <f>IF(AND(MIN(H21:H25)&gt;0, MIN(E21:E25)&gt;0, MAX(E28:E38)&gt;0, MAX(H28:H38)&gt;0), MIN(H21:H25) + ((E26 - MIN(E21:E25)) / (MAX(E28:E38) - MIN(E21:E25))) * (MAX(H28:H38) - MIN(H21:H25)), "-")</f>
        <v>11.770791627185805</v>
      </c>
      <c r="K26" s="52"/>
      <c r="L26" s="11"/>
      <c r="M26" s="11"/>
      <c r="N26" s="11"/>
      <c r="O26" s="11"/>
      <c r="P26" s="11"/>
      <c r="Q26" s="11"/>
      <c r="R26" s="11"/>
    </row>
    <row r="27" spans="2:18" ht="7.2" customHeight="1" x14ac:dyDescent="0.3">
      <c r="B27" s="59" t="str">
        <f>"Feinkörnig = " &amp; TEXT(P3+Q3, "0.00") &amp; " %"</f>
        <v>Feinkörnig = 11.77 %</v>
      </c>
      <c r="C27" s="60"/>
      <c r="D27" s="73" t="str">
        <f>"Silt " &amp; TEXT(P3, "0.00") &amp; " %"</f>
        <v>Silt 9.17 %</v>
      </c>
      <c r="E27" s="68"/>
      <c r="F27" s="77"/>
      <c r="G27" s="70"/>
      <c r="H27" s="72"/>
      <c r="I27" s="150"/>
      <c r="J27" s="159"/>
      <c r="K27" s="52"/>
      <c r="L27" s="11"/>
      <c r="M27" s="11"/>
      <c r="N27" s="11"/>
      <c r="O27" s="11"/>
      <c r="P27" s="11"/>
      <c r="Q27" s="11"/>
      <c r="R27" s="11"/>
    </row>
    <row r="28" spans="2:18" ht="14.4" customHeight="1" x14ac:dyDescent="0.3">
      <c r="B28" s="61"/>
      <c r="C28" s="62"/>
      <c r="D28" s="75"/>
      <c r="E28" s="32">
        <v>0.06</v>
      </c>
      <c r="F28" s="144"/>
      <c r="G28" s="56" t="str">
        <f t="shared" si="1"/>
        <v>-</v>
      </c>
      <c r="H28" s="49">
        <f>IF(ISNUMBER(I28), I28, IF(ISNUMBER(G28), IF(ISNUMBER(H26), H26, IF(COUNT(H$7:H26)&gt;0, MIN(H$7:H26), 100)) - G28, "-"))</f>
        <v>11.6</v>
      </c>
      <c r="I28" s="151">
        <v>11.6</v>
      </c>
      <c r="J28" s="158"/>
      <c r="K28" s="52"/>
      <c r="L28" s="11"/>
      <c r="M28" s="11"/>
      <c r="N28" s="11"/>
      <c r="O28" s="11"/>
      <c r="P28" s="11"/>
      <c r="Q28" s="11"/>
      <c r="R28" s="11"/>
    </row>
    <row r="29" spans="2:18" ht="14.55" customHeight="1" x14ac:dyDescent="0.3">
      <c r="B29" s="61"/>
      <c r="C29" s="62"/>
      <c r="D29" s="75"/>
      <c r="E29" s="31">
        <v>0.05</v>
      </c>
      <c r="F29" s="142"/>
      <c r="G29" s="156" t="str">
        <f t="shared" si="1"/>
        <v>-</v>
      </c>
      <c r="H29" s="48" t="str">
        <f>IF(ISNUMBER(I29), I29, IF(ISNUMBER(G29), IF(ISNUMBER(H27), H27, IF(COUNT(H$7:H27)&gt;0, MIN(H$7:H27), 100)) - G29, "-"))</f>
        <v>-</v>
      </c>
      <c r="I29" s="152"/>
      <c r="J29" s="52"/>
      <c r="K29" s="52"/>
      <c r="L29" s="11"/>
      <c r="M29" s="11"/>
      <c r="N29" s="11"/>
      <c r="O29" s="11"/>
      <c r="P29" s="11"/>
      <c r="Q29" s="11"/>
      <c r="R29" s="11"/>
    </row>
    <row r="30" spans="2:18" ht="14.55" customHeight="1" x14ac:dyDescent="0.3">
      <c r="B30" s="61"/>
      <c r="C30" s="62"/>
      <c r="D30" s="75"/>
      <c r="E30" s="32">
        <v>0.04</v>
      </c>
      <c r="F30" s="143"/>
      <c r="G30" s="56" t="str">
        <f t="shared" si="1"/>
        <v>-</v>
      </c>
      <c r="H30" s="49" t="str">
        <f>IF(ISNUMBER(I30), I30, IF(ISNUMBER(G30), IF(ISNUMBER(H29), H29, IF(COUNT(H$7:H29)&gt;0, MIN(H$7:H29), 100)) - G30, "-"))</f>
        <v>-</v>
      </c>
      <c r="I30" s="151"/>
      <c r="J30" s="52"/>
      <c r="K30" s="52"/>
      <c r="L30" s="11"/>
      <c r="M30" s="11"/>
      <c r="N30" s="11"/>
      <c r="O30" s="11"/>
      <c r="P30" s="11"/>
      <c r="Q30" s="11"/>
      <c r="R30" s="11"/>
    </row>
    <row r="31" spans="2:18" ht="14.55" customHeight="1" x14ac:dyDescent="0.3">
      <c r="B31" s="61"/>
      <c r="C31" s="62"/>
      <c r="D31" s="75"/>
      <c r="E31" s="31">
        <v>0.03</v>
      </c>
      <c r="F31" s="142"/>
      <c r="G31" s="156" t="str">
        <f t="shared" si="1"/>
        <v>-</v>
      </c>
      <c r="H31" s="48" t="str">
        <f>IF(ISNUMBER(I31), I31, IF(ISNUMBER(G31), IF(ISNUMBER(H30), H30, IF(COUNT(H$7:H30)&gt;0, MIN(H$7:H30), 100)) - G31, "-"))</f>
        <v>-</v>
      </c>
      <c r="I31" s="152"/>
      <c r="J31" s="52"/>
      <c r="K31" s="52"/>
      <c r="L31" s="11"/>
      <c r="M31" s="11"/>
      <c r="N31" s="11"/>
      <c r="O31" s="11"/>
      <c r="P31" s="11"/>
      <c r="Q31" s="11"/>
      <c r="R31" s="11"/>
    </row>
    <row r="32" spans="2:18" ht="14.55" customHeight="1" x14ac:dyDescent="0.3">
      <c r="B32" s="61"/>
      <c r="C32" s="62"/>
      <c r="D32" s="75"/>
      <c r="E32" s="32">
        <v>0.02</v>
      </c>
      <c r="F32" s="143"/>
      <c r="G32" s="56" t="str">
        <f t="shared" si="1"/>
        <v>-</v>
      </c>
      <c r="H32" s="49">
        <f>IF(ISNUMBER(I32), I32, IF(ISNUMBER(G32), IF(ISNUMBER(H31), H31, IF(COUNT(H$7:H31)&gt;0, MIN(H$7:H31), 100)) - G32, "-"))</f>
        <v>8.1</v>
      </c>
      <c r="I32" s="151">
        <v>8.1</v>
      </c>
      <c r="J32" s="52"/>
      <c r="K32" s="52"/>
      <c r="L32" s="11"/>
      <c r="M32" s="11"/>
      <c r="N32" s="11"/>
      <c r="O32" s="11"/>
      <c r="P32" s="11"/>
      <c r="Q32" s="11"/>
      <c r="R32" s="11"/>
    </row>
    <row r="33" spans="2:18" ht="14.55" customHeight="1" x14ac:dyDescent="0.3">
      <c r="B33" s="61"/>
      <c r="C33" s="62"/>
      <c r="D33" s="75"/>
      <c r="E33" s="31">
        <v>1.4999999999999999E-2</v>
      </c>
      <c r="F33" s="142"/>
      <c r="G33" s="156" t="str">
        <f t="shared" si="1"/>
        <v>-</v>
      </c>
      <c r="H33" s="48" t="str">
        <f>IF(ISNUMBER(I33), I33, IF(ISNUMBER(G33), IF(ISNUMBER(H32), H32, IF(COUNT(H$7:H32)&gt;0, MIN(H$7:H32), 100)) - G33, "-"))</f>
        <v>-</v>
      </c>
      <c r="I33" s="152"/>
      <c r="J33" s="52"/>
      <c r="K33" s="52"/>
      <c r="L33" s="11"/>
      <c r="M33" s="11"/>
      <c r="N33" s="11"/>
      <c r="O33" s="11"/>
      <c r="P33" s="11"/>
      <c r="Q33" s="11"/>
      <c r="R33" s="11"/>
    </row>
    <row r="34" spans="2:18" ht="14.55" customHeight="1" x14ac:dyDescent="0.3">
      <c r="B34" s="61"/>
      <c r="C34" s="62"/>
      <c r="D34" s="75"/>
      <c r="E34" s="32">
        <v>0.01</v>
      </c>
      <c r="F34" s="143"/>
      <c r="G34" s="56" t="str">
        <f t="shared" si="1"/>
        <v>-</v>
      </c>
      <c r="H34" s="49" t="str">
        <f>IF(ISNUMBER(I34), I34, IF(ISNUMBER(G34), IF(ISNUMBER(H33), H33, IF(COUNT(H$7:H33)&gt;0, MIN(H$7:H33), 100)) - G34, "-"))</f>
        <v>-</v>
      </c>
      <c r="I34" s="151"/>
      <c r="J34" s="52"/>
      <c r="K34" s="52"/>
      <c r="L34" s="11"/>
      <c r="M34" s="11"/>
      <c r="N34" s="11"/>
      <c r="O34" s="11"/>
      <c r="P34" s="11"/>
      <c r="Q34" s="11"/>
      <c r="R34" s="11"/>
    </row>
    <row r="35" spans="2:18" ht="14.55" customHeight="1" x14ac:dyDescent="0.3">
      <c r="B35" s="61"/>
      <c r="C35" s="62"/>
      <c r="D35" s="75"/>
      <c r="E35" s="31">
        <v>8.0000000000000002E-3</v>
      </c>
      <c r="F35" s="142"/>
      <c r="G35" s="156" t="str">
        <f t="shared" si="1"/>
        <v>-</v>
      </c>
      <c r="H35" s="48" t="str">
        <f>IF(ISNUMBER(I35), I35, IF(ISNUMBER(G35), IF(ISNUMBER(H34), H34, IF(COUNT(H$7:H34)&gt;0, MIN(H$7:H34), 100)) - G35, "-"))</f>
        <v>-</v>
      </c>
      <c r="I35" s="152"/>
      <c r="J35" s="52"/>
      <c r="K35" s="52"/>
      <c r="L35" s="11"/>
      <c r="M35" s="11"/>
      <c r="N35" s="11"/>
      <c r="O35" s="11"/>
      <c r="P35" s="11"/>
      <c r="Q35" s="11"/>
      <c r="R35" s="11"/>
    </row>
    <row r="36" spans="2:18" ht="14.55" customHeight="1" x14ac:dyDescent="0.3">
      <c r="B36" s="61"/>
      <c r="C36" s="62"/>
      <c r="D36" s="75"/>
      <c r="E36" s="32">
        <v>6.0000000000000001E-3</v>
      </c>
      <c r="F36" s="143"/>
      <c r="G36" s="56" t="str">
        <f t="shared" si="1"/>
        <v>-</v>
      </c>
      <c r="H36" s="49" t="str">
        <f>IF(ISNUMBER(I36), I36, IF(ISNUMBER(G36), IF(ISNUMBER(H35), H35, IF(COUNT(H$7:H35)&gt;0, MIN(H$7:H35), 100)) - G36, "-"))</f>
        <v>-</v>
      </c>
      <c r="I36" s="151"/>
      <c r="J36" s="52"/>
      <c r="K36" s="52"/>
      <c r="L36" s="11"/>
      <c r="M36" s="11"/>
      <c r="N36" s="11"/>
      <c r="O36" s="11"/>
      <c r="P36" s="11"/>
      <c r="Q36" s="11"/>
      <c r="R36" s="11"/>
    </row>
    <row r="37" spans="2:18" ht="14.55" customHeight="1" x14ac:dyDescent="0.3">
      <c r="B37" s="61"/>
      <c r="C37" s="62"/>
      <c r="D37" s="75"/>
      <c r="E37" s="31">
        <v>4.0000000000000001E-3</v>
      </c>
      <c r="F37" s="142"/>
      <c r="G37" s="156" t="str">
        <f t="shared" si="1"/>
        <v>-</v>
      </c>
      <c r="H37" s="48" t="str">
        <f>IF(ISNUMBER(I37), I37, IF(ISNUMBER(G37), IF(ISNUMBER(H36), H36, IF(COUNT(H$7:H36)&gt;0, MIN(H$7:H36), 100)) - G37, "-"))</f>
        <v>-</v>
      </c>
      <c r="I37" s="152"/>
      <c r="J37" s="52"/>
      <c r="K37" s="52"/>
      <c r="L37" s="11"/>
      <c r="M37" s="11"/>
      <c r="N37" s="11"/>
      <c r="O37" s="11"/>
      <c r="P37" s="11"/>
      <c r="Q37" s="11"/>
      <c r="R37" s="11"/>
    </row>
    <row r="38" spans="2:18" ht="14.55" customHeight="1" x14ac:dyDescent="0.3">
      <c r="B38" s="61"/>
      <c r="C38" s="62"/>
      <c r="D38" s="75"/>
      <c r="E38" s="32">
        <v>3.0000000000000001E-3</v>
      </c>
      <c r="F38" s="143"/>
      <c r="G38" s="56" t="str">
        <f t="shared" si="1"/>
        <v>-</v>
      </c>
      <c r="H38" s="49" t="str">
        <f>IF(ISNUMBER(I38), I38, IF(ISNUMBER(G38), IF(ISNUMBER(H37), H37, IF(COUNT(H$7:H37)&gt;0, MIN(H$7:H37), 100)) - G38, "-"))</f>
        <v>-</v>
      </c>
      <c r="I38" s="151"/>
      <c r="J38" s="52"/>
      <c r="K38" s="52"/>
      <c r="L38" s="11"/>
      <c r="M38" s="11"/>
      <c r="N38" s="11"/>
      <c r="O38" s="11"/>
      <c r="P38" s="11"/>
      <c r="Q38" s="11"/>
      <c r="R38" s="11"/>
    </row>
    <row r="39" spans="2:18" ht="7.2" customHeight="1" thickBot="1" x14ac:dyDescent="0.35">
      <c r="B39" s="61"/>
      <c r="C39" s="62"/>
      <c r="D39" s="74"/>
      <c r="E39" s="68">
        <v>2E-3</v>
      </c>
      <c r="F39" s="76"/>
      <c r="G39" s="69" t="str">
        <f t="shared" si="1"/>
        <v>-</v>
      </c>
      <c r="H39" s="71">
        <f>IF(ISNUMBER(I39), I39, IF(ISNUMBER(G39), IF(ISNUMBER(H38), H38, IF(COUNT(H$7:H38)&gt;0, MIN(H$7:H38), 100)) - G39, "-"))</f>
        <v>2.6</v>
      </c>
      <c r="I39" s="153">
        <v>2.6</v>
      </c>
      <c r="J39" s="159" t="str">
        <f>IF(AND(MIN(H28:H38)&gt;0, MIN(E28:E38)&gt;0, MAX(E41)&gt;0, MAX(H41)&gt;0), MIN(H28:H38) + ((E39 - MIN(E28:E38)) / (MAX(E41) - MIN(E28:E38))) * (MAX(H41) - MIN(H28:H38)), "-")</f>
        <v>-</v>
      </c>
      <c r="K39" s="52"/>
      <c r="L39" s="11"/>
      <c r="M39" s="11"/>
      <c r="N39" s="11"/>
      <c r="O39" s="11"/>
      <c r="P39" s="11"/>
      <c r="Q39" s="11"/>
      <c r="R39" s="11"/>
    </row>
    <row r="40" spans="2:18" ht="7.2" customHeight="1" x14ac:dyDescent="0.3">
      <c r="B40" s="61"/>
      <c r="C40" s="62"/>
      <c r="D40" s="73" t="str">
        <f>"Ton " &amp; TEXT(Q3, "0.00") &amp; " %"</f>
        <v>Ton 2.60 %</v>
      </c>
      <c r="E40" s="68"/>
      <c r="F40" s="77"/>
      <c r="G40" s="70"/>
      <c r="H40" s="72"/>
      <c r="I40" s="150"/>
      <c r="J40" s="159"/>
      <c r="K40" s="52"/>
    </row>
    <row r="41" spans="2:18" ht="14.55" customHeight="1" thickBot="1" x14ac:dyDescent="0.35">
      <c r="B41" s="63"/>
      <c r="C41" s="64"/>
      <c r="D41" s="74"/>
      <c r="E41" s="32">
        <v>1E-3</v>
      </c>
      <c r="F41" s="145"/>
      <c r="G41" s="50" t="str">
        <f t="shared" si="1"/>
        <v>-</v>
      </c>
      <c r="H41" s="51" t="str">
        <f>IF(ISNUMBER(I41), I41, IF(ISNUMBER(G41), IF(ISNUMBER(H40), H40, IF(COUNT(H$7:H40)&gt;0, MIN(H$7:H40), 100)) - G41, "-"))</f>
        <v>-</v>
      </c>
      <c r="I41" s="154"/>
      <c r="J41" s="52"/>
      <c r="K41" s="52"/>
    </row>
    <row r="42" spans="2:18" x14ac:dyDescent="0.3">
      <c r="E42" s="18" t="s">
        <v>3</v>
      </c>
      <c r="F42" s="44">
        <f>SUM(F7:F41)</f>
        <v>22691</v>
      </c>
      <c r="G42" s="45">
        <f>100-MIN(H7:H41)</f>
        <v>97.4</v>
      </c>
      <c r="J42" s="52"/>
      <c r="K42" s="52"/>
    </row>
    <row r="43" spans="2:18" ht="15" thickBot="1" x14ac:dyDescent="0.35">
      <c r="E43" s="19" t="s">
        <v>4</v>
      </c>
      <c r="F43" s="20">
        <f>D4-F42</f>
        <v>4099</v>
      </c>
      <c r="G43" s="46">
        <f>ABS(100-G42)</f>
        <v>2.5999999999999943</v>
      </c>
      <c r="H43" s="55" t="str">
        <f>IF(G43&lt;1, "&lt; 1 % Brauchbar","&gt; 1 % Unbrauchbar")</f>
        <v>&gt; 1 % Unbrauchbar</v>
      </c>
    </row>
    <row r="45" spans="2:18" ht="15" thickBot="1" x14ac:dyDescent="0.35"/>
    <row r="46" spans="2:18" ht="15" thickBot="1" x14ac:dyDescent="0.35">
      <c r="C46" s="6"/>
      <c r="D46" s="7" t="s">
        <v>17</v>
      </c>
      <c r="E46" s="7" t="s">
        <v>6</v>
      </c>
      <c r="F46" s="7" t="s">
        <v>7</v>
      </c>
      <c r="G46" s="124" t="s">
        <v>26</v>
      </c>
      <c r="H46" s="124"/>
      <c r="I46" s="124"/>
      <c r="J46" s="124"/>
      <c r="K46" s="124"/>
      <c r="L46" s="125"/>
    </row>
    <row r="47" spans="2:18" x14ac:dyDescent="0.3">
      <c r="D47" s="13" t="s">
        <v>0</v>
      </c>
      <c r="E47" s="33">
        <v>4.2000000000000003E-2</v>
      </c>
      <c r="F47" s="34">
        <v>10</v>
      </c>
      <c r="G47" s="65" t="s">
        <v>47</v>
      </c>
      <c r="H47" s="66"/>
      <c r="I47" s="66"/>
      <c r="J47" s="66"/>
      <c r="K47" s="66"/>
      <c r="L47" s="67"/>
    </row>
    <row r="48" spans="2:18" x14ac:dyDescent="0.3">
      <c r="D48" s="14" t="s">
        <v>1</v>
      </c>
      <c r="E48" s="35">
        <v>1.9039999999999999</v>
      </c>
      <c r="F48" s="36">
        <v>30</v>
      </c>
      <c r="G48" s="134" t="s">
        <v>48</v>
      </c>
      <c r="H48" s="135"/>
      <c r="I48" s="135"/>
      <c r="J48" s="135"/>
      <c r="K48" s="135"/>
      <c r="L48" s="136"/>
    </row>
    <row r="49" spans="3:15" ht="15" thickBot="1" x14ac:dyDescent="0.35">
      <c r="D49" s="15" t="s">
        <v>2</v>
      </c>
      <c r="E49" s="37">
        <v>14.081</v>
      </c>
      <c r="F49" s="38">
        <v>60</v>
      </c>
      <c r="G49" s="131" t="s">
        <v>49</v>
      </c>
      <c r="H49" s="132"/>
      <c r="I49" s="132"/>
      <c r="J49" s="132"/>
      <c r="K49" s="132"/>
      <c r="L49" s="133"/>
    </row>
    <row r="51" spans="3:15" ht="15" thickBot="1" x14ac:dyDescent="0.35"/>
    <row r="52" spans="3:15" ht="15" thickBot="1" x14ac:dyDescent="0.35">
      <c r="C52" s="26"/>
      <c r="D52" s="7" t="s">
        <v>33</v>
      </c>
      <c r="E52" s="124" t="s">
        <v>32</v>
      </c>
      <c r="F52" s="124"/>
      <c r="G52" s="7" t="s">
        <v>31</v>
      </c>
      <c r="H52" s="124" t="s">
        <v>9</v>
      </c>
      <c r="I52" s="124"/>
      <c r="J52" s="124"/>
      <c r="K52" s="124"/>
      <c r="L52" s="125"/>
    </row>
    <row r="53" spans="3:15" ht="19.8" x14ac:dyDescent="0.45">
      <c r="D53" s="21" t="s">
        <v>19</v>
      </c>
      <c r="E53" s="109" t="s">
        <v>29</v>
      </c>
      <c r="F53" s="110"/>
      <c r="G53" s="39">
        <f>E49/E47</f>
        <v>335.2619047619047</v>
      </c>
      <c r="H53" s="100" t="str">
        <f>IFERROR(ROUND(E49,2) &amp; " ÷ " &amp; ROUND(E47,2) &amp; " = " &amp; ROUND(E49/E47,3), "Fehler: Ungültige Werte")</f>
        <v>14.08 ÷ 0.04 = 335.262</v>
      </c>
      <c r="I53" s="101"/>
      <c r="J53" s="101"/>
      <c r="K53" s="101"/>
      <c r="L53" s="102"/>
    </row>
    <row r="54" spans="3:15" ht="19.8" x14ac:dyDescent="0.45">
      <c r="D54" s="27" t="s">
        <v>20</v>
      </c>
      <c r="E54" s="120" t="s">
        <v>30</v>
      </c>
      <c r="F54" s="121"/>
      <c r="G54" s="40">
        <f>(E48^2)/(E47*E49)</f>
        <v>6.1298676703832582</v>
      </c>
      <c r="H54" s="103" t="str">
        <f>IFERROR("(" &amp; ROUND(E48,2) &amp; "²) ÷ (" &amp; ROUND(E47,2) &amp; " × " &amp; ROUND(E49,2) &amp; ") = " &amp; ROUND((E48^2)/(E47*E49),3), "Fehler: Ungültige Werte")</f>
        <v>(1.9²) ÷ (0.04 × 14.08) = 6.13</v>
      </c>
      <c r="I54" s="104"/>
      <c r="J54" s="104"/>
      <c r="K54" s="104"/>
      <c r="L54" s="105"/>
    </row>
    <row r="55" spans="3:15" x14ac:dyDescent="0.3">
      <c r="D55" s="28" t="s">
        <v>16</v>
      </c>
      <c r="E55" s="126" t="s">
        <v>34</v>
      </c>
      <c r="F55" s="127"/>
      <c r="G55" s="41">
        <f>IF(AND(ISNUMBER(E4), ISNUMBER(F4), E4&gt;0, F4&gt;0, E4&gt;F4), E4-F4, "-")</f>
        <v>8.4</v>
      </c>
      <c r="H55" s="128" t="str">
        <f>IF(AND(ISNUMBER(E4), ISNUMBER(F4), E4&gt;0, F4&gt;0, E4&gt;F4), "(" &amp; E4 &amp; " - " &amp; F4 &amp; ") = " &amp; (E4 - F4), "Ungültige WP und WL Werte")</f>
        <v>(22 - 13.6) = 8.4</v>
      </c>
      <c r="I55" s="129"/>
      <c r="J55" s="129"/>
      <c r="K55" s="129"/>
      <c r="L55" s="130"/>
    </row>
    <row r="56" spans="3:15" ht="15" thickBot="1" x14ac:dyDescent="0.35">
      <c r="D56" s="29" t="s">
        <v>28</v>
      </c>
      <c r="E56" s="122" t="s">
        <v>36</v>
      </c>
      <c r="F56" s="123"/>
      <c r="G56" s="43" t="str" cm="1">
        <f t="array" ref="G56">PunktInPolygon(E4, G55)</f>
        <v>CL,OL</v>
      </c>
      <c r="H56" s="106" t="s">
        <v>35</v>
      </c>
      <c r="I56" s="107"/>
      <c r="J56" s="107"/>
      <c r="K56" s="107"/>
      <c r="L56" s="108"/>
    </row>
    <row r="57" spans="3:15" x14ac:dyDescent="0.3">
      <c r="E57" s="42"/>
      <c r="F57" s="10"/>
    </row>
    <row r="58" spans="3:15" ht="15" thickBot="1" x14ac:dyDescent="0.35">
      <c r="E58" s="42"/>
      <c r="F58" s="10"/>
    </row>
    <row r="59" spans="3:15" ht="15" thickBot="1" x14ac:dyDescent="0.35">
      <c r="C59" s="97" t="s">
        <v>21</v>
      </c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9"/>
    </row>
    <row r="60" spans="3:15" ht="18" customHeight="1" x14ac:dyDescent="0.3">
      <c r="D60" s="111" t="str">
        <f>IF((N3+O3)&gt;50, " - Grobkörniger Boden, da der Anteil von Kies und Sand über 50 % liegt (" &amp; TEXT(N3+O3,"0.00") &amp; "%)", "Feinkörniger Boden, da der Anteil an Kies und Sand unter 50 % liegt (" &amp; TEXT(N3+O3,"0.00") &amp; "%)")</f>
        <v xml:space="preserve"> - Grobkörniger Boden, da der Anteil von Kies und Sand über 50 % liegt (84.27%)</v>
      </c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3"/>
    </row>
    <row r="61" spans="3:15" ht="18" customHeight="1" x14ac:dyDescent="0.3">
      <c r="D61" s="114" t="str">
        <f>IF((N3) &gt; (O3), " - Probe enthält mehr Kies als Sand (" &amp; ROUND(N3,2) &amp; "% Kies, " &amp; ROUND(O3,2) &amp; "% Sand)", " - Probe enthält mehr Sand als Kies (" &amp; ROUND(O3,2) &amp; "% Sand, " &amp; ROUND(N3,2) &amp; "% Kies)")</f>
        <v xml:space="preserve"> - Probe enthält mehr Kies als Sand (65.54% Kies, 18.73% Sand)</v>
      </c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6"/>
    </row>
    <row r="62" spans="3:15" ht="18" customHeight="1" thickBot="1" x14ac:dyDescent="0.35">
      <c r="D62" s="117" t="str">
        <f>IF(OR(AND(ISNUMBER(SEARCH("CH",G56)), ISNUMBER(SEARCH("OL",G56))), AND(ISNUMBER(SEARCH("CM",G56)), ISNUMBER(SEARCH("OL",G56))), AND(ISNUMBER(SEARCH("CL",G56)), ISNUMBER(SEARCH("OL",G56))), AND(ISNUMBER(SEARCH("CL",G56)), ISNUMBER(SEARCH("ML",G56)))), " - Ton, weil oberhalb der A-Linie", IF(OR(AND(ISNUMBER(SEARCH("ML",G56)), ISNUMBER(SEARCH("OL",G56))), AND(ISNUMBER(SEARCH("MH",G56)), ISNUMBER(SEARCH("OH",G56)))), " - Silt, weil unterhalb der A-Linie", ""))</f>
        <v xml:space="preserve"> - Ton, weil oberhalb der A-Linie</v>
      </c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9"/>
    </row>
    <row r="63" spans="3:15" ht="18.600000000000001" customHeight="1" x14ac:dyDescent="0.3">
      <c r="D63" s="85" t="str" cm="1">
        <f t="array" ref="D63">IF((MAX(H9:H26)-MIN(H9:H26))&gt;50,IF((MAX(H9:H19)-MIN(H9:H19))&gt;(MAX(H19:H26)-MIN(H19:H26)),KiesKlasseUndBeschreibung(MAX(H26:H41)-MIN(H26:H41),G53,G54,G56,(MAX(H19:H26)-MIN(H19:H26))),SandKlasseUndBeschreibung(MAX(H26:H41)-MIN(H26:H41),G53,G54,G56,(MAX(H19:H26)-MIN(H19:H26)))),KlassifiziereFein(MAX(H26:H41)-MIN(H26:H41),G53,G54,G56,(MAX(H19:H26)-MIN(H19:H26))))</f>
        <v>GP-GC - schlecht abgestufter Kies mit Ton (oder siltigem Ton) und Sand</v>
      </c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7"/>
    </row>
    <row r="64" spans="3:15" ht="15" customHeight="1" x14ac:dyDescent="0.3">
      <c r="D64" s="88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90"/>
    </row>
    <row r="65" spans="4:15" ht="15" customHeight="1" x14ac:dyDescent="0.3">
      <c r="D65" s="91" t="str" cm="1">
        <f t="array" ref="D65">IF((MAX(H9:H26)-MIN(H9:H26))&gt;50,IF((MAX(H9:H19)-MIN(H9:H$19))&gt;(MAX(H19:H26)-MIN(H19:H26)),BegruendungFuerKiesKlasse(MAX(H26:H41)-MIN(H26:H41),G53,G54,G56,(MAX(H19:H26)-MIN(H19:H26))),BegruendungFuerSandKlasse(MAX(H26:H41)-MIN(H26:H41),G53,G54,G56,(MAX(H19:H26)-MIN(H19:H26)))),KlassifiziereFein(MAX(H26:H41)-MIN(H26:H41),G53,G54,G56,(MAX(H19:H26)-MIN(H19:H26))))</f>
        <v>(Feinanteil 5-12%, CUD &lt; 4 oder CCD außerhalb 1-3, Bodenklasse enthält CL/CM/CH/CL-ML, Sandanteil &gt;= 15%)</v>
      </c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3"/>
    </row>
    <row r="66" spans="4:15" ht="15" thickBot="1" x14ac:dyDescent="0.35">
      <c r="D66" s="94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6"/>
    </row>
    <row r="71" spans="4:15" ht="14.4" customHeight="1" x14ac:dyDescent="0.3">
      <c r="D71" s="58" t="s">
        <v>43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</row>
    <row r="72" spans="4:15" x14ac:dyDescent="0.3"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</row>
    <row r="73" spans="4:15" x14ac:dyDescent="0.3"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</row>
    <row r="74" spans="4:15" x14ac:dyDescent="0.3"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</row>
    <row r="75" spans="4:15" x14ac:dyDescent="0.3"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</row>
    <row r="76" spans="4:15" x14ac:dyDescent="0.3"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</row>
    <row r="77" spans="4:15" x14ac:dyDescent="0.3"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</row>
    <row r="78" spans="4:15" ht="18" customHeight="1" x14ac:dyDescent="0.3"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</row>
    <row r="79" spans="4:15" x14ac:dyDescent="0.3"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</row>
    <row r="80" spans="4:15" x14ac:dyDescent="0.3"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</row>
    <row r="81" spans="4:15" x14ac:dyDescent="0.3"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</row>
    <row r="82" spans="4:15" x14ac:dyDescent="0.3"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</row>
    <row r="83" spans="4:15" x14ac:dyDescent="0.3"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</row>
    <row r="84" spans="4:15" x14ac:dyDescent="0.3"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</row>
  </sheetData>
  <sheetProtection algorithmName="SHA-512" hashValue="cQMwuCpkzVMdS6TL93DVHytWUqfkUb7FrC7Jkid7F+QBoPT38xTc8gvl4HHEfpAXkN15ya3NFAFXh5B43HzFmA==" saltValue="Lhgp7aujZqw2sl/V27b2HQ==" spinCount="100000" sheet="1" objects="1" scenarios="1" selectLockedCells="1"/>
  <mergeCells count="51">
    <mergeCell ref="J9:J10"/>
    <mergeCell ref="E52:F52"/>
    <mergeCell ref="H52:L52"/>
    <mergeCell ref="E55:F55"/>
    <mergeCell ref="H55:L55"/>
    <mergeCell ref="I14:I25"/>
    <mergeCell ref="G46:L46"/>
    <mergeCell ref="G49:L49"/>
    <mergeCell ref="G48:L48"/>
    <mergeCell ref="J26:J27"/>
    <mergeCell ref="J19:J20"/>
    <mergeCell ref="J39:J40"/>
    <mergeCell ref="D63:O64"/>
    <mergeCell ref="D65:O66"/>
    <mergeCell ref="C59:O59"/>
    <mergeCell ref="H53:L53"/>
    <mergeCell ref="H54:L54"/>
    <mergeCell ref="H56:L56"/>
    <mergeCell ref="E53:F53"/>
    <mergeCell ref="D60:O60"/>
    <mergeCell ref="D61:O61"/>
    <mergeCell ref="D62:O62"/>
    <mergeCell ref="E54:F54"/>
    <mergeCell ref="E56:F56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71:O84"/>
    <mergeCell ref="B27:C41"/>
    <mergeCell ref="I39:I40"/>
    <mergeCell ref="I26:I27"/>
    <mergeCell ref="B10:C26"/>
    <mergeCell ref="G47:L47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</mergeCells>
  <conditionalFormatting sqref="G43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defaultColWidth="11.44140625" defaultRowHeight="14.4" x14ac:dyDescent="0.3"/>
  <cols>
    <col min="7" max="7" width="95.77734375" customWidth="1"/>
  </cols>
  <sheetData>
    <row r="1" spans="1:7" x14ac:dyDescent="0.3">
      <c r="A1" s="16"/>
      <c r="B1" s="16"/>
      <c r="E1" s="5" t="s">
        <v>24</v>
      </c>
      <c r="F1" s="5"/>
      <c r="G1" s="5"/>
    </row>
    <row r="2" spans="1:7" x14ac:dyDescent="0.3">
      <c r="A2" s="17"/>
      <c r="B2" s="17"/>
      <c r="D2" s="5"/>
      <c r="E2" s="9" t="s">
        <v>22</v>
      </c>
    </row>
    <row r="3" spans="1:7" x14ac:dyDescent="0.3">
      <c r="A3" s="17"/>
      <c r="B3" s="17"/>
      <c r="D3" s="5"/>
      <c r="E3" s="9" t="s">
        <v>23</v>
      </c>
    </row>
    <row r="4" spans="1:7" x14ac:dyDescent="0.3">
      <c r="A4" s="17"/>
      <c r="B4" s="17"/>
      <c r="D4" s="5"/>
      <c r="E4" s="9"/>
    </row>
    <row r="5" spans="1:7" x14ac:dyDescent="0.3">
      <c r="A5" s="17"/>
      <c r="B5" s="17"/>
    </row>
    <row r="6" spans="1:7" x14ac:dyDescent="0.3">
      <c r="A6" s="17"/>
      <c r="B6" s="17"/>
    </row>
    <row r="7" spans="1:7" x14ac:dyDescent="0.3">
      <c r="A7" s="17"/>
      <c r="B7" s="17"/>
      <c r="D7" s="5"/>
      <c r="F7" s="10"/>
    </row>
    <row r="8" spans="1:7" x14ac:dyDescent="0.3">
      <c r="A8" s="17"/>
      <c r="B8" s="17"/>
      <c r="D8" s="5"/>
      <c r="F8" s="10"/>
    </row>
    <row r="9" spans="1:7" x14ac:dyDescent="0.3">
      <c r="A9" s="17"/>
      <c r="B9" s="17"/>
    </row>
    <row r="10" spans="1:7" x14ac:dyDescent="0.3">
      <c r="A10" s="17"/>
      <c r="B10" s="17"/>
    </row>
    <row r="11" spans="1:7" x14ac:dyDescent="0.3">
      <c r="A11" s="17"/>
      <c r="B11" s="17"/>
    </row>
    <row r="12" spans="1:7" x14ac:dyDescent="0.3">
      <c r="A12" s="17"/>
      <c r="B12" s="17"/>
    </row>
    <row r="13" spans="1:7" x14ac:dyDescent="0.3">
      <c r="A13" s="17"/>
      <c r="B13" s="17"/>
    </row>
    <row r="14" spans="1:7" x14ac:dyDescent="0.3">
      <c r="A14" s="17"/>
      <c r="B14" s="17"/>
    </row>
    <row r="15" spans="1:7" x14ac:dyDescent="0.3">
      <c r="A15" s="17"/>
      <c r="B15" s="17"/>
    </row>
    <row r="16" spans="1:7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  <row r="32" spans="1:2" x14ac:dyDescent="0.3">
      <c r="A32" s="17"/>
      <c r="B32" s="17"/>
    </row>
    <row r="33" spans="1:2" x14ac:dyDescent="0.3">
      <c r="A33" s="17"/>
      <c r="B33" s="17"/>
    </row>
    <row r="34" spans="1:2" x14ac:dyDescent="0.3">
      <c r="A34" s="17"/>
      <c r="B34" s="17"/>
    </row>
    <row r="35" spans="1:2" x14ac:dyDescent="0.3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2025-02-24T12:43:42Z</dcterms:modified>
</cp:coreProperties>
</file>