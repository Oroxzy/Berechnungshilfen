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129" codeName="{DC747B9D-DBBB-FA85-71B4-595EBAB97821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\\Mac\Home\Documents\Berechnungshilfen\Excel\GB Grundbau\"/>
    </mc:Choice>
  </mc:AlternateContent>
  <xr:revisionPtr revIDLastSave="0" documentId="13_ncr:1_{F3BE9963-B084-4F8A-BC58-D981DA585F7C}" xr6:coauthVersionLast="47" xr6:coauthVersionMax="47" xr10:uidLastSave="{00000000-0000-0000-0000-000000000000}"/>
  <bookViews>
    <workbookView xWindow="-98" yWindow="-98" windowWidth="22261" windowHeight="15990" xr2:uid="{00000000-000D-0000-FFFF-FFFF00000000}"/>
  </bookViews>
  <sheets>
    <sheet name="Siebkurve" sheetId="1" r:id="rId1"/>
    <sheet name="Siebgrössen_gefiltert" sheetId="2" state="hidden" r:id="rId2"/>
  </sheets>
  <functionGroups builtInGroupCount="19"/>
  <definedNames>
    <definedName name="_xleta.AND" hidden="1" xlm="1">#NAME?</definedName>
    <definedName name="_xleta.IF" hidden="1" xlm="1">#NAME?</definedName>
    <definedName name="_xleta.INDEX" hidden="1" xlm="1">#NAME?</definedName>
    <definedName name="_xleta.MAX" hidden="1" xlm="1">#NAME?</definedName>
    <definedName name="_xleta.N" hidden="1" xlm="1">#NAME?</definedName>
    <definedName name="_xleta.OR" hidden="1" xlm="1">#NAME?</definedName>
    <definedName name="_xleta.SUM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3" i="1" l="1"/>
  <c r="O3" i="1"/>
  <c r="G42" i="1"/>
  <c r="F43" i="1"/>
  <c r="G7" i="1"/>
  <c r="G8" i="1"/>
  <c r="G21" i="1"/>
  <c r="G22" i="1"/>
  <c r="G23" i="1"/>
  <c r="G24" i="1"/>
  <c r="G25" i="1"/>
  <c r="G26" i="1"/>
  <c r="G28" i="1"/>
  <c r="G29" i="1"/>
  <c r="G30" i="1"/>
  <c r="G31" i="1"/>
  <c r="G32" i="1"/>
  <c r="G33" i="1"/>
  <c r="G34" i="1"/>
  <c r="G35" i="1"/>
  <c r="G36" i="1"/>
  <c r="G37" i="1"/>
  <c r="G38" i="1"/>
  <c r="G39" i="1"/>
  <c r="G41" i="1"/>
  <c r="H41" i="1" s="1"/>
  <c r="G11" i="1"/>
  <c r="G12" i="1"/>
  <c r="G13" i="1"/>
  <c r="G14" i="1"/>
  <c r="G15" i="1"/>
  <c r="G16" i="1"/>
  <c r="G17" i="1"/>
  <c r="G18" i="1"/>
  <c r="G19" i="1"/>
  <c r="G9" i="1"/>
  <c r="M2" i="1"/>
  <c r="Q2" i="1"/>
  <c r="H56" i="1"/>
  <c r="G56" i="1"/>
  <c r="H7" i="1" l="1"/>
  <c r="H29" i="1"/>
  <c r="H31" i="1"/>
  <c r="H34" i="1"/>
  <c r="H37" i="1"/>
  <c r="H38" i="1"/>
  <c r="H39" i="1"/>
  <c r="Q3" i="1" s="1"/>
  <c r="H30" i="1" l="1"/>
  <c r="H8" i="1"/>
  <c r="D40" i="1"/>
  <c r="H9" i="1" l="1"/>
  <c r="H54" i="1"/>
  <c r="G54" i="1"/>
  <c r="H55" i="1"/>
  <c r="G55" i="1"/>
  <c r="H11" i="1" l="1"/>
  <c r="M3" i="1"/>
  <c r="D7" i="1" s="1"/>
  <c r="H12" i="1" s="1"/>
  <c r="H13" i="1" l="1"/>
  <c r="H14" i="1" s="1"/>
  <c r="F44" i="1"/>
  <c r="G57" i="1" a="1"/>
  <c r="G57" i="1" l="1"/>
  <c r="D63" i="1" s="1"/>
  <c r="H28" i="1" l="1"/>
  <c r="H33" i="1"/>
  <c r="H35" i="1"/>
  <c r="H36" i="1" l="1"/>
  <c r="H32" i="1"/>
  <c r="P3" i="1" l="1"/>
  <c r="H42" i="1"/>
  <c r="H15" i="1"/>
  <c r="H16" i="1" l="1"/>
  <c r="H17" i="1" l="1"/>
  <c r="H18" i="1" l="1"/>
  <c r="H19" i="1" l="1"/>
  <c r="H21" i="1" l="1"/>
  <c r="H22" i="1" l="1"/>
  <c r="H23" i="1" l="1"/>
  <c r="H24" i="1" l="1"/>
  <c r="H25" i="1" s="1"/>
  <c r="H26" i="1" s="1"/>
  <c r="G43" i="1" s="1"/>
  <c r="D66" i="1" a="1"/>
  <c r="D64" i="1" a="1"/>
  <c r="G44" i="1" l="1"/>
  <c r="H44" i="1" s="1"/>
  <c r="D64" i="1"/>
  <c r="D66" i="1"/>
  <c r="O2" i="1" l="1"/>
  <c r="P2" i="1"/>
  <c r="N2" i="1"/>
  <c r="D20" i="1"/>
  <c r="D10" i="1"/>
  <c r="D27" i="1"/>
  <c r="B27" i="1"/>
  <c r="R3" i="1" l="1"/>
  <c r="B10" i="1"/>
  <c r="R2" i="1"/>
  <c r="D61" i="1"/>
  <c r="D62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<sst xmlns="http://schemas.openxmlformats.org/spreadsheetml/2006/main" count="53" uniqueCount="52">
  <si>
    <t>D10</t>
  </si>
  <si>
    <t>D30</t>
  </si>
  <si>
    <t>D60</t>
  </si>
  <si>
    <t>Total</t>
  </si>
  <si>
    <t>Verlust</t>
  </si>
  <si>
    <t>meile.jeremy@stud.bauschule.ch</t>
  </si>
  <si>
    <t>Siebgrösse</t>
  </si>
  <si>
    <t>Summe %</t>
  </si>
  <si>
    <t>Klassifikation von Lockergestein (USCS)</t>
  </si>
  <si>
    <t>Lösungsweg</t>
  </si>
  <si>
    <r>
      <t xml:space="preserve">Siebgrösse </t>
    </r>
    <r>
      <rPr>
        <sz val="11"/>
        <rFont val="Calibri"/>
        <family val="2"/>
        <scheme val="minor"/>
      </rPr>
      <t>(mm)</t>
    </r>
  </si>
  <si>
    <r>
      <t xml:space="preserve">Rückstand </t>
    </r>
    <r>
      <rPr>
        <sz val="11"/>
        <rFont val="Calibri"/>
        <family val="2"/>
        <scheme val="minor"/>
      </rPr>
      <t>(g)</t>
    </r>
  </si>
  <si>
    <r>
      <t>Rückstand</t>
    </r>
    <r>
      <rPr>
        <sz val="11"/>
        <rFont val="Calibri"/>
        <family val="2"/>
        <scheme val="minor"/>
      </rPr>
      <t xml:space="preserve"> in %</t>
    </r>
  </si>
  <si>
    <r>
      <t>Summe</t>
    </r>
    <r>
      <rPr>
        <sz val="11"/>
        <rFont val="Calibri"/>
        <family val="2"/>
        <scheme val="minor"/>
      </rPr>
      <t xml:space="preserve"> in %</t>
    </r>
  </si>
  <si>
    <r>
      <t>WP</t>
    </r>
    <r>
      <rPr>
        <sz val="11"/>
        <rFont val="Calibri"/>
        <family val="2"/>
        <scheme val="minor"/>
      </rPr>
      <t xml:space="preserve"> in %</t>
    </r>
  </si>
  <si>
    <r>
      <t>WL</t>
    </r>
    <r>
      <rPr>
        <sz val="11"/>
        <rFont val="Calibri"/>
        <family val="2"/>
        <scheme val="minor"/>
      </rPr>
      <t xml:space="preserve"> in %</t>
    </r>
  </si>
  <si>
    <r>
      <t>IP</t>
    </r>
    <r>
      <rPr>
        <sz val="11"/>
        <rFont val="Calibri"/>
        <family val="2"/>
        <scheme val="minor"/>
      </rPr>
      <t xml:space="preserve"> in %</t>
    </r>
  </si>
  <si>
    <t>Siebdurchgang</t>
  </si>
  <si>
    <t>Anteil</t>
  </si>
  <si>
    <r>
      <t>C</t>
    </r>
    <r>
      <rPr>
        <b/>
        <vertAlign val="subscript"/>
        <sz val="13"/>
        <color theme="1"/>
        <rFont val="Calibri"/>
        <family val="2"/>
        <scheme val="minor"/>
      </rPr>
      <t>UD</t>
    </r>
  </si>
  <si>
    <r>
      <t>C</t>
    </r>
    <r>
      <rPr>
        <b/>
        <vertAlign val="subscript"/>
        <sz val="13"/>
        <color theme="1"/>
        <rFont val="Calibri"/>
        <family val="2"/>
        <scheme val="minor"/>
      </rPr>
      <t>CD</t>
    </r>
  </si>
  <si>
    <t>Auswertung</t>
  </si>
  <si>
    <t>Anorganisch</t>
  </si>
  <si>
    <t>Organisch</t>
  </si>
  <si>
    <t>Boden:</t>
  </si>
  <si>
    <t>Bodenklasse</t>
  </si>
  <si>
    <t>Lösungsweg (Interpolation)</t>
  </si>
  <si>
    <r>
      <t>Probe</t>
    </r>
    <r>
      <rPr>
        <sz val="11"/>
        <rFont val="Calibri"/>
        <family val="2"/>
        <scheme val="minor"/>
      </rPr>
      <t xml:space="preserve"> in Gramm</t>
    </r>
  </si>
  <si>
    <t>Plastizität</t>
  </si>
  <si>
    <t>Ungleichförmigkeitszahl</t>
  </si>
  <si>
    <t>Krümmungskoeffizient</t>
  </si>
  <si>
    <t>Wert</t>
  </si>
  <si>
    <t>Beschreibung</t>
  </si>
  <si>
    <t>Was</t>
  </si>
  <si>
    <t>Plastizitätsindex</t>
  </si>
  <si>
    <t>Aus dem Plastizitätsdiagramm</t>
  </si>
  <si>
    <t>Klassiert die Feinanteile</t>
  </si>
  <si>
    <t>Kies</t>
  </si>
  <si>
    <t>Sand</t>
  </si>
  <si>
    <t>Silt</t>
  </si>
  <si>
    <t>Ton</t>
  </si>
  <si>
    <t>Steine</t>
  </si>
  <si>
    <r>
      <t xml:space="preserve">Schlämmanalyse
</t>
    </r>
    <r>
      <rPr>
        <sz val="11"/>
        <rFont val="Calibri"/>
        <family val="2"/>
        <scheme val="minor"/>
      </rPr>
      <t>in % 
Wenn die Schlämmanalyse in % angegeben ist, trage sie hier unten ein.</t>
    </r>
    <r>
      <rPr>
        <b/>
        <sz val="11"/>
        <rFont val="Calibri"/>
        <family val="2"/>
        <scheme val="minor"/>
      </rPr>
      <t xml:space="preserve">
</t>
    </r>
    <r>
      <rPr>
        <b/>
        <sz val="24"/>
        <rFont val="Calibri"/>
        <family val="2"/>
        <scheme val="minor"/>
      </rPr>
      <t>⬇</t>
    </r>
  </si>
  <si>
    <r>
      <rPr>
        <b/>
        <u/>
        <sz val="14"/>
        <color theme="1"/>
        <rFont val="Calibri"/>
        <family val="2"/>
        <scheme val="minor"/>
      </rPr>
      <t>Beschreibung der Excel-Tabelle:</t>
    </r>
    <r>
      <rPr>
        <b/>
        <sz val="12"/>
        <color theme="1"/>
        <rFont val="Calibri"/>
        <family val="2"/>
        <scheme val="minor"/>
      </rPr>
      <t xml:space="preserve">
Diese Tabelle klassifiziert automatisch grobkörnige Böden (Sand und Kies) basierend auf CUD, CCD, Plastizität und Kornanteilen. Alle Berechnungen erfolgen automatisch.
Nur die roten Felder müssen ausgefüllt werden – hier werden nur Werte eingetragen, die bekannt oder gegeben sind.
Feinkörnige Böden sind noch nicht implementiert.
(23.02.25) Meile.Jeremy@stud.bauschule.ch</t>
    </r>
  </si>
  <si>
    <t>Methode 2 (Summe %)</t>
  </si>
  <si>
    <t>Methode 1 (Rückstand g)</t>
  </si>
  <si>
    <t>Summe</t>
  </si>
  <si>
    <t>Boden</t>
  </si>
  <si>
    <t>0.125 + (30.000 - 37.760) * (0.063 - 0.125) ÷ (20.620 - 37.760) = 0.097</t>
  </si>
  <si>
    <t>2.000 + (60.000 - 66.020) * (1.000 - 2.000) ÷ (59.970 - 66.020) = 1.005</t>
  </si>
  <si>
    <t>0.063 + (10.000 - 20.620) * (0.020 - 0.063) ÷ (9.000 - 20.620) = 0.024</t>
  </si>
  <si>
    <t>lol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</si>
</sst>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0000"/>
    <numFmt numFmtId="166" formatCode="#,##0.000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0"/>
      <name val="Calibri"/>
      <family val="2"/>
      <scheme val="minor"/>
    </font>
    <font>
      <u/>
      <sz val="14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vertAlign val="subscript"/>
      <sz val="13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4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E5B789"/>
        <bgColor indexed="64"/>
      </patternFill>
    </fill>
    <fill>
      <patternFill patternType="solid">
        <fgColor rgb="FFE5E5B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</fills>
  <borders count="6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rgb="FFB2B2B2"/>
      </left>
      <right style="medium">
        <color indexed="64"/>
      </right>
      <top style="thin">
        <color rgb="FFB2B2B2"/>
      </top>
      <bottom/>
      <diagonal/>
    </border>
    <border>
      <left style="thin">
        <color rgb="FFB2B2B2"/>
      </left>
      <right style="medium">
        <color indexed="64"/>
      </right>
      <top/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B2B2B2"/>
      </left>
      <right/>
      <top style="medium">
        <color indexed="64"/>
      </top>
      <bottom style="thin">
        <color rgb="FFB2B2B2"/>
      </bottom>
      <diagonal/>
    </border>
    <border>
      <left/>
      <right/>
      <top style="medium">
        <color indexed="64"/>
      </top>
      <bottom style="thin">
        <color rgb="FFB2B2B2"/>
      </bottom>
      <diagonal/>
    </border>
    <border>
      <left style="thin">
        <color rgb="FF7F7F7F"/>
      </left>
      <right/>
      <top style="thin">
        <color rgb="FFB2B2B2"/>
      </top>
      <bottom/>
      <diagonal/>
    </border>
    <border>
      <left/>
      <right/>
      <top style="thin">
        <color rgb="FFB2B2B2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rgb="FFB2B2B2"/>
      </bottom>
      <diagonal/>
    </border>
    <border>
      <left/>
      <right style="medium">
        <color indexed="64"/>
      </right>
      <top style="thin">
        <color rgb="FFB2B2B2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rgb="FFB2B2B2"/>
      </left>
      <right/>
      <top style="thin">
        <color rgb="FFB2B2B2"/>
      </top>
      <bottom style="medium">
        <color indexed="64"/>
      </bottom>
      <diagonal/>
    </border>
    <border>
      <left/>
      <right/>
      <top style="thin">
        <color rgb="FFB2B2B2"/>
      </top>
      <bottom style="medium">
        <color indexed="64"/>
      </bottom>
      <diagonal/>
    </border>
    <border>
      <left/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/>
      <diagonal/>
    </border>
    <border>
      <left style="medium">
        <color indexed="64"/>
      </left>
      <right style="thin">
        <color rgb="FFB2B2B2"/>
      </right>
      <top/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thin">
        <color rgb="FF7F7F7F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/>
      <right style="medium">
        <color indexed="64"/>
      </right>
      <top/>
      <bottom style="thin">
        <color rgb="FF7F7F7F"/>
      </bottom>
      <diagonal/>
    </border>
    <border>
      <left/>
      <right style="medium">
        <color indexed="64"/>
      </right>
      <top style="thin">
        <color rgb="FF7F7F7F"/>
      </top>
      <bottom style="thin">
        <color rgb="FF7F7F7F"/>
      </bottom>
      <diagonal/>
    </border>
    <border>
      <left/>
      <right style="medium">
        <color indexed="64"/>
      </right>
      <top style="thin">
        <color rgb="FF7F7F7F"/>
      </top>
      <bottom/>
      <diagonal/>
    </border>
    <border>
      <left/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/>
      <diagonal/>
    </border>
    <border>
      <left style="medium">
        <color indexed="64"/>
      </left>
      <right/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2" fillId="2" borderId="1" applyNumberFormat="0" applyAlignment="0" applyProtection="0"/>
    <xf numFmtId="0" fontId="1" fillId="3" borderId="2" applyNumberFormat="0" applyFont="0" applyAlignment="0" applyProtection="0"/>
    <xf numFmtId="0" fontId="4" fillId="0" borderId="0" applyNumberFormat="0" applyFill="0" applyBorder="0" applyAlignment="0" applyProtection="0"/>
  </cellStyleXfs>
  <cellXfs count="161">
    <xf numFmtId="0" fontId="0" fillId="0" borderId="0" xfId="0"/>
    <xf numFmtId="0" fontId="5" fillId="4" borderId="4" xfId="0" applyFont="1" applyFill="1" applyBorder="1" applyAlignment="1">
      <alignment horizontal="left"/>
    </xf>
    <xf numFmtId="0" fontId="5" fillId="4" borderId="5" xfId="0" applyFont="1" applyFill="1" applyBorder="1" applyAlignment="1">
      <alignment horizontal="center"/>
    </xf>
    <xf numFmtId="0" fontId="5" fillId="4" borderId="5" xfId="0" applyFont="1" applyFill="1" applyBorder="1"/>
    <xf numFmtId="0" fontId="6" fillId="4" borderId="6" xfId="3" applyFont="1" applyFill="1" applyBorder="1" applyAlignment="1" applyProtection="1">
      <alignment horizontal="right"/>
    </xf>
    <xf numFmtId="0" fontId="3" fillId="0" borderId="0" xfId="0" applyFont="1"/>
    <xf numFmtId="0" fontId="7" fillId="5" borderId="4" xfId="0" applyFont="1" applyFill="1" applyBorder="1" applyAlignment="1">
      <alignment horizontal="center" vertical="center"/>
    </xf>
    <xf numFmtId="0" fontId="7" fillId="5" borderId="5" xfId="0" applyFont="1" applyFill="1" applyBorder="1" applyAlignment="1">
      <alignment horizontal="center" vertical="center"/>
    </xf>
    <xf numFmtId="0" fontId="7" fillId="5" borderId="6" xfId="0" applyFont="1" applyFill="1" applyBorder="1" applyAlignment="1">
      <alignment horizontal="center" vertical="center"/>
    </xf>
    <xf numFmtId="4" fontId="0" fillId="0" borderId="0" xfId="0" applyNumberFormat="1"/>
    <xf numFmtId="2" fontId="0" fillId="0" borderId="0" xfId="0" applyNumberFormat="1"/>
    <xf numFmtId="0" fontId="8" fillId="0" borderId="0" xfId="0" applyFont="1"/>
    <xf numFmtId="0" fontId="7" fillId="5" borderId="14" xfId="0" applyFont="1" applyFill="1" applyBorder="1" applyAlignment="1">
      <alignment horizontal="center" vertical="center"/>
    </xf>
    <xf numFmtId="0" fontId="3" fillId="0" borderId="28" xfId="0" applyFont="1" applyBorder="1" applyAlignment="1">
      <alignment horizontal="right"/>
    </xf>
    <xf numFmtId="0" fontId="3" fillId="8" borderId="8" xfId="0" applyFont="1" applyFill="1" applyBorder="1" applyAlignment="1">
      <alignment horizontal="right"/>
    </xf>
    <xf numFmtId="0" fontId="3" fillId="0" borderId="31" xfId="0" applyFont="1" applyBorder="1" applyAlignment="1">
      <alignment horizontal="right"/>
    </xf>
    <xf numFmtId="0" fontId="3" fillId="0" borderId="0" xfId="0" applyFont="1" applyProtection="1">
      <protection locked="0"/>
    </xf>
    <xf numFmtId="0" fontId="0" fillId="0" borderId="0" xfId="0" applyProtection="1">
      <protection locked="0"/>
    </xf>
    <xf numFmtId="0" fontId="7" fillId="5" borderId="19" xfId="0" applyFont="1" applyFill="1" applyBorder="1" applyAlignment="1">
      <alignment horizontal="center" vertical="center"/>
    </xf>
    <xf numFmtId="4" fontId="3" fillId="0" borderId="19" xfId="0" applyNumberFormat="1" applyFont="1" applyBorder="1"/>
    <xf numFmtId="0" fontId="9" fillId="0" borderId="15" xfId="0" applyFont="1" applyBorder="1" applyAlignment="1">
      <alignment horizontal="right"/>
    </xf>
    <xf numFmtId="0" fontId="7" fillId="5" borderId="16" xfId="0" applyFont="1" applyFill="1" applyBorder="1" applyAlignment="1">
      <alignment horizontal="center" vertical="center"/>
    </xf>
    <xf numFmtId="0" fontId="7" fillId="2" borderId="21" xfId="1" applyFont="1" applyBorder="1" applyProtection="1">
      <protection locked="0"/>
    </xf>
    <xf numFmtId="0" fontId="7" fillId="2" borderId="22" xfId="1" applyFont="1" applyBorder="1" applyProtection="1">
      <protection locked="0"/>
    </xf>
    <xf numFmtId="0" fontId="7" fillId="2" borderId="50" xfId="1" applyFont="1" applyBorder="1" applyProtection="1">
      <protection locked="0"/>
    </xf>
    <xf numFmtId="0" fontId="7" fillId="5" borderId="4" xfId="0" applyFont="1" applyFill="1" applyBorder="1" applyAlignment="1">
      <alignment vertical="center"/>
    </xf>
    <xf numFmtId="0" fontId="9" fillId="8" borderId="17" xfId="0" applyFont="1" applyFill="1" applyBorder="1" applyAlignment="1">
      <alignment horizontal="right"/>
    </xf>
    <xf numFmtId="0" fontId="3" fillId="0" borderId="17" xfId="0" applyFont="1" applyBorder="1" applyAlignment="1">
      <alignment horizontal="right"/>
    </xf>
    <xf numFmtId="0" fontId="3" fillId="8" borderId="19" xfId="0" applyFont="1" applyFill="1" applyBorder="1" applyAlignment="1">
      <alignment horizontal="right"/>
    </xf>
    <xf numFmtId="0" fontId="0" fillId="0" borderId="15" xfId="0" applyBorder="1" applyAlignment="1">
      <alignment horizontal="right"/>
    </xf>
    <xf numFmtId="0" fontId="0" fillId="8" borderId="17" xfId="0" applyFill="1" applyBorder="1" applyAlignment="1">
      <alignment horizontal="right"/>
    </xf>
    <xf numFmtId="0" fontId="0" fillId="0" borderId="17" xfId="0" applyBorder="1" applyAlignment="1">
      <alignment horizontal="right"/>
    </xf>
    <xf numFmtId="164" fontId="0" fillId="0" borderId="9" xfId="0" applyNumberFormat="1" applyBorder="1" applyAlignment="1">
      <alignment horizontal="right"/>
    </xf>
    <xf numFmtId="0" fontId="0" fillId="0" borderId="9" xfId="0" applyBorder="1" applyAlignment="1">
      <alignment horizontal="right"/>
    </xf>
    <xf numFmtId="164" fontId="0" fillId="8" borderId="3" xfId="0" applyNumberFormat="1" applyFill="1" applyBorder="1" applyAlignment="1">
      <alignment horizontal="right"/>
    </xf>
    <xf numFmtId="0" fontId="0" fillId="8" borderId="3" xfId="0" applyFill="1" applyBorder="1" applyAlignment="1">
      <alignment horizontal="right"/>
    </xf>
    <xf numFmtId="164" fontId="0" fillId="0" borderId="13" xfId="0" applyNumberFormat="1" applyBorder="1" applyAlignment="1">
      <alignment horizontal="right"/>
    </xf>
    <xf numFmtId="0" fontId="0" fillId="0" borderId="13" xfId="0" applyBorder="1" applyAlignment="1">
      <alignment horizontal="right"/>
    </xf>
    <xf numFmtId="166" fontId="0" fillId="0" borderId="48" xfId="0" applyNumberFormat="1" applyBorder="1"/>
    <xf numFmtId="166" fontId="0" fillId="8" borderId="51" xfId="0" applyNumberFormat="1" applyFill="1" applyBorder="1"/>
    <xf numFmtId="0" fontId="0" fillId="0" borderId="51" xfId="0" applyBorder="1" applyAlignment="1">
      <alignment horizontal="right"/>
    </xf>
    <xf numFmtId="165" fontId="0" fillId="0" borderId="0" xfId="0" applyNumberFormat="1"/>
    <xf numFmtId="166" fontId="3" fillId="8" borderId="49" xfId="0" applyNumberFormat="1" applyFont="1" applyFill="1" applyBorder="1" applyAlignment="1">
      <alignment horizontal="center"/>
    </xf>
    <xf numFmtId="4" fontId="3" fillId="0" borderId="52" xfId="0" applyNumberFormat="1" applyFont="1" applyBorder="1"/>
    <xf numFmtId="2" fontId="1" fillId="3" borderId="40" xfId="2" applyNumberFormat="1" applyFont="1" applyBorder="1" applyAlignment="1" applyProtection="1">
      <alignment horizontal="right" vertical="center"/>
    </xf>
    <xf numFmtId="2" fontId="1" fillId="7" borderId="12" xfId="2" applyNumberFormat="1" applyFont="1" applyFill="1" applyBorder="1" applyAlignment="1" applyProtection="1">
      <alignment horizontal="right" vertical="center"/>
    </xf>
    <xf numFmtId="2" fontId="1" fillId="3" borderId="10" xfId="2" applyNumberFormat="1" applyFont="1" applyBorder="1" applyAlignment="1" applyProtection="1">
      <alignment horizontal="right" vertical="center"/>
    </xf>
    <xf numFmtId="0" fontId="14" fillId="0" borderId="0" xfId="0" applyFont="1"/>
    <xf numFmtId="4" fontId="14" fillId="0" borderId="0" xfId="0" applyNumberFormat="1" applyFont="1"/>
    <xf numFmtId="0" fontId="5" fillId="4" borderId="5" xfId="0" applyFont="1" applyFill="1" applyBorder="1" applyProtection="1">
      <protection locked="0"/>
    </xf>
    <xf numFmtId="0" fontId="3" fillId="0" borderId="0" xfId="0" applyFont="1" applyAlignment="1">
      <alignment horizontal="left" vertical="center"/>
    </xf>
    <xf numFmtId="2" fontId="1" fillId="3" borderId="38" xfId="2" applyNumberFormat="1" applyFont="1" applyBorder="1" applyAlignment="1" applyProtection="1">
      <alignment horizontal="right" vertical="center"/>
    </xf>
    <xf numFmtId="0" fontId="0" fillId="6" borderId="42" xfId="1" applyNumberFormat="1" applyFont="1" applyFill="1" applyBorder="1" applyAlignment="1" applyProtection="1">
      <alignment horizontal="right" vertical="center"/>
      <protection locked="0"/>
    </xf>
    <xf numFmtId="0" fontId="0" fillId="2" borderId="53" xfId="1" applyNumberFormat="1" applyFont="1" applyBorder="1" applyAlignment="1" applyProtection="1">
      <alignment horizontal="right" vertical="center"/>
      <protection locked="0"/>
    </xf>
    <xf numFmtId="0" fontId="0" fillId="2" borderId="43" xfId="1" applyFont="1" applyBorder="1" applyAlignment="1" applyProtection="1">
      <alignment horizontal="right" vertical="center"/>
      <protection locked="0"/>
    </xf>
    <xf numFmtId="0" fontId="0" fillId="6" borderId="41" xfId="1" applyNumberFormat="1" applyFont="1" applyFill="1" applyBorder="1" applyAlignment="1" applyProtection="1">
      <alignment horizontal="right" vertical="center"/>
      <protection locked="0"/>
    </xf>
    <xf numFmtId="0" fontId="0" fillId="2" borderId="41" xfId="1" applyFont="1" applyBorder="1" applyAlignment="1" applyProtection="1">
      <alignment horizontal="right" vertical="center"/>
      <protection locked="0"/>
    </xf>
    <xf numFmtId="0" fontId="8" fillId="2" borderId="55" xfId="1" applyFont="1" applyBorder="1" applyAlignment="1" applyProtection="1">
      <alignment horizontal="right" vertical="center"/>
      <protection locked="0"/>
    </xf>
    <xf numFmtId="0" fontId="8" fillId="6" borderId="55" xfId="1" applyNumberFormat="1" applyFont="1" applyFill="1" applyBorder="1" applyAlignment="1" applyProtection="1">
      <alignment horizontal="right" vertical="center"/>
      <protection locked="0"/>
    </xf>
    <xf numFmtId="0" fontId="8" fillId="2" borderId="57" xfId="1" applyFont="1" applyBorder="1" applyAlignment="1" applyProtection="1">
      <alignment horizontal="right" vertical="center"/>
      <protection locked="0"/>
    </xf>
    <xf numFmtId="2" fontId="1" fillId="3" borderId="58" xfId="2" applyNumberFormat="1" applyFont="1" applyBorder="1" applyAlignment="1" applyProtection="1">
      <alignment horizontal="right" vertical="center"/>
    </xf>
    <xf numFmtId="2" fontId="1" fillId="7" borderId="59" xfId="2" applyNumberFormat="1" applyFont="1" applyFill="1" applyBorder="1" applyAlignment="1" applyProtection="1">
      <alignment horizontal="right" vertical="center"/>
    </xf>
    <xf numFmtId="2" fontId="14" fillId="0" borderId="0" xfId="0" applyNumberFormat="1" applyFont="1"/>
    <xf numFmtId="0" fontId="0" fillId="2" borderId="42" xfId="1" applyFont="1" applyBorder="1" applyAlignment="1" applyProtection="1">
      <alignment horizontal="right" vertical="center"/>
      <protection locked="0"/>
    </xf>
    <xf numFmtId="4" fontId="0" fillId="8" borderId="60" xfId="0" applyNumberFormat="1" applyFill="1" applyBorder="1"/>
    <xf numFmtId="4" fontId="0" fillId="8" borderId="61" xfId="0" applyNumberFormat="1" applyFill="1" applyBorder="1"/>
    <xf numFmtId="0" fontId="3" fillId="0" borderId="0" xfId="0" applyFont="1" applyAlignment="1">
      <alignment horizontal="left" vertical="top" wrapText="1"/>
    </xf>
    <xf numFmtId="0" fontId="3" fillId="10" borderId="15" xfId="0" applyFont="1" applyFill="1" applyBorder="1" applyAlignment="1">
      <alignment horizontal="center" vertical="center" textRotation="90"/>
    </xf>
    <xf numFmtId="0" fontId="3" fillId="10" borderId="16" xfId="0" applyFont="1" applyFill="1" applyBorder="1" applyAlignment="1">
      <alignment horizontal="center" vertical="center" textRotation="90"/>
    </xf>
    <xf numFmtId="0" fontId="3" fillId="10" borderId="17" xfId="0" applyFont="1" applyFill="1" applyBorder="1" applyAlignment="1">
      <alignment horizontal="center" vertical="center" textRotation="90"/>
    </xf>
    <xf numFmtId="0" fontId="3" fillId="10" borderId="18" xfId="0" applyFont="1" applyFill="1" applyBorder="1" applyAlignment="1">
      <alignment horizontal="center" vertical="center" textRotation="90"/>
    </xf>
    <xf numFmtId="0" fontId="3" fillId="10" borderId="19" xfId="0" applyFont="1" applyFill="1" applyBorder="1" applyAlignment="1">
      <alignment horizontal="center" vertical="center" textRotation="90"/>
    </xf>
    <xf numFmtId="0" fontId="3" fillId="10" borderId="20" xfId="0" applyFont="1" applyFill="1" applyBorder="1" applyAlignment="1">
      <alignment horizontal="center" vertical="center" textRotation="90"/>
    </xf>
    <xf numFmtId="0" fontId="8" fillId="6" borderId="56" xfId="1" applyNumberFormat="1" applyFont="1" applyFill="1" applyBorder="1" applyAlignment="1" applyProtection="1">
      <alignment horizontal="right" vertical="center"/>
      <protection locked="0"/>
    </xf>
    <xf numFmtId="0" fontId="8" fillId="6" borderId="54" xfId="1" applyNumberFormat="1" applyFont="1" applyFill="1" applyBorder="1" applyAlignment="1" applyProtection="1">
      <alignment horizontal="right" vertical="center"/>
      <protection locked="0"/>
    </xf>
    <xf numFmtId="0" fontId="8" fillId="6" borderId="16" xfId="1" applyNumberFormat="1" applyFont="1" applyFill="1" applyBorder="1" applyAlignment="1" applyProtection="1">
      <alignment horizontal="right" vertical="center"/>
      <protection locked="0"/>
    </xf>
    <xf numFmtId="2" fontId="0" fillId="3" borderId="24" xfId="2" applyNumberFormat="1" applyFont="1" applyBorder="1" applyAlignment="1" applyProtection="1">
      <alignment horizontal="center" vertical="center"/>
    </xf>
    <xf numFmtId="2" fontId="0" fillId="3" borderId="25" xfId="2" applyNumberFormat="1" applyFont="1" applyBorder="1" applyAlignment="1" applyProtection="1">
      <alignment horizontal="center" vertical="center"/>
    </xf>
    <xf numFmtId="2" fontId="0" fillId="3" borderId="29" xfId="2" applyNumberFormat="1" applyFont="1" applyBorder="1" applyAlignment="1" applyProtection="1">
      <alignment horizontal="center" vertical="center"/>
    </xf>
    <xf numFmtId="0" fontId="0" fillId="8" borderId="7" xfId="0" applyFill="1" applyBorder="1" applyAlignment="1">
      <alignment horizontal="right"/>
    </xf>
    <xf numFmtId="0" fontId="0" fillId="6" borderId="42" xfId="1" applyNumberFormat="1" applyFont="1" applyFill="1" applyBorder="1" applyAlignment="1" applyProtection="1">
      <alignment horizontal="right" vertical="center"/>
      <protection locked="0"/>
    </xf>
    <xf numFmtId="0" fontId="0" fillId="6" borderId="43" xfId="1" applyNumberFormat="1" applyFont="1" applyFill="1" applyBorder="1" applyAlignment="1" applyProtection="1">
      <alignment horizontal="right" vertical="center"/>
      <protection locked="0"/>
    </xf>
    <xf numFmtId="2" fontId="1" fillId="7" borderId="38" xfId="2" applyNumberFormat="1" applyFont="1" applyFill="1" applyBorder="1" applyAlignment="1" applyProtection="1">
      <alignment horizontal="right" vertical="center"/>
    </xf>
    <xf numFmtId="2" fontId="1" fillId="7" borderId="39" xfId="2" applyNumberFormat="1" applyFont="1" applyFill="1" applyBorder="1" applyAlignment="1" applyProtection="1">
      <alignment horizontal="right" vertical="center"/>
    </xf>
    <xf numFmtId="2" fontId="1" fillId="7" borderId="10" xfId="2" applyNumberFormat="1" applyFont="1" applyFill="1" applyBorder="1" applyAlignment="1" applyProtection="1">
      <alignment horizontal="right" vertical="center"/>
    </xf>
    <xf numFmtId="2" fontId="1" fillId="7" borderId="11" xfId="2" applyNumberFormat="1" applyFont="1" applyFill="1" applyBorder="1" applyAlignment="1" applyProtection="1">
      <alignment horizontal="right" vertical="center"/>
    </xf>
    <xf numFmtId="0" fontId="0" fillId="0" borderId="17" xfId="0" applyBorder="1" applyAlignment="1">
      <alignment horizontal="right"/>
    </xf>
    <xf numFmtId="0" fontId="0" fillId="2" borderId="42" xfId="1" applyFont="1" applyBorder="1" applyAlignment="1" applyProtection="1">
      <alignment horizontal="right" vertical="center"/>
      <protection locked="0"/>
    </xf>
    <xf numFmtId="0" fontId="0" fillId="2" borderId="43" xfId="1" applyFont="1" applyBorder="1" applyAlignment="1" applyProtection="1">
      <alignment horizontal="right" vertical="center"/>
      <protection locked="0"/>
    </xf>
    <xf numFmtId="2" fontId="1" fillId="3" borderId="38" xfId="2" applyNumberFormat="1" applyFont="1" applyBorder="1" applyAlignment="1" applyProtection="1">
      <alignment horizontal="right" vertical="center"/>
    </xf>
    <xf numFmtId="2" fontId="1" fillId="3" borderId="39" xfId="2" applyNumberFormat="1" applyFont="1" applyBorder="1" applyAlignment="1" applyProtection="1">
      <alignment horizontal="right" vertical="center"/>
    </xf>
    <xf numFmtId="2" fontId="1" fillId="3" borderId="10" xfId="2" applyNumberFormat="1" applyFont="1" applyBorder="1" applyAlignment="1" applyProtection="1">
      <alignment horizontal="right" vertical="center"/>
    </xf>
    <xf numFmtId="2" fontId="1" fillId="3" borderId="11" xfId="2" applyNumberFormat="1" applyFont="1" applyBorder="1" applyAlignment="1" applyProtection="1">
      <alignment horizontal="right" vertical="center"/>
    </xf>
    <xf numFmtId="0" fontId="0" fillId="8" borderId="17" xfId="0" applyFill="1" applyBorder="1" applyAlignment="1">
      <alignment horizontal="right"/>
    </xf>
    <xf numFmtId="0" fontId="11" fillId="9" borderId="15" xfId="0" applyFont="1" applyFill="1" applyBorder="1" applyAlignment="1">
      <alignment horizontal="center" vertical="center" wrapText="1"/>
    </xf>
    <xf numFmtId="0" fontId="11" fillId="9" borderId="14" xfId="0" applyFont="1" applyFill="1" applyBorder="1" applyAlignment="1">
      <alignment horizontal="center" vertical="center" wrapText="1"/>
    </xf>
    <xf numFmtId="0" fontId="11" fillId="9" borderId="16" xfId="0" applyFont="1" applyFill="1" applyBorder="1" applyAlignment="1">
      <alignment horizontal="center" vertical="center" wrapText="1"/>
    </xf>
    <xf numFmtId="0" fontId="11" fillId="9" borderId="17" xfId="0" applyFont="1" applyFill="1" applyBorder="1" applyAlignment="1">
      <alignment horizontal="center" vertical="center" wrapText="1"/>
    </xf>
    <xf numFmtId="0" fontId="11" fillId="9" borderId="0" xfId="0" applyFont="1" applyFill="1" applyAlignment="1">
      <alignment horizontal="center" vertical="center" wrapText="1"/>
    </xf>
    <xf numFmtId="0" fontId="11" fillId="9" borderId="18" xfId="0" applyFont="1" applyFill="1" applyBorder="1" applyAlignment="1">
      <alignment horizontal="center" vertical="center" wrapText="1"/>
    </xf>
    <xf numFmtId="0" fontId="12" fillId="9" borderId="17" xfId="0" applyFont="1" applyFill="1" applyBorder="1" applyAlignment="1">
      <alignment horizontal="center" vertical="center" wrapText="1"/>
    </xf>
    <xf numFmtId="0" fontId="12" fillId="9" borderId="0" xfId="0" applyFont="1" applyFill="1" applyAlignment="1">
      <alignment horizontal="center" vertical="center" wrapText="1"/>
    </xf>
    <xf numFmtId="0" fontId="12" fillId="9" borderId="18" xfId="0" applyFont="1" applyFill="1" applyBorder="1" applyAlignment="1">
      <alignment horizontal="center" vertical="center" wrapText="1"/>
    </xf>
    <xf numFmtId="0" fontId="12" fillId="9" borderId="19" xfId="0" applyFont="1" applyFill="1" applyBorder="1" applyAlignment="1">
      <alignment horizontal="center" vertical="center" wrapText="1"/>
    </xf>
    <xf numFmtId="0" fontId="12" fillId="9" borderId="23" xfId="0" applyFont="1" applyFill="1" applyBorder="1" applyAlignment="1">
      <alignment horizontal="center" vertical="center" wrapText="1"/>
    </xf>
    <xf numFmtId="0" fontId="12" fillId="9" borderId="20" xfId="0" applyFont="1" applyFill="1" applyBorder="1" applyAlignment="1">
      <alignment horizontal="center" vertical="center" wrapText="1"/>
    </xf>
    <xf numFmtId="0" fontId="7" fillId="5" borderId="4" xfId="0" applyFont="1" applyFill="1" applyBorder="1" applyAlignment="1">
      <alignment horizontal="left" vertical="center"/>
    </xf>
    <xf numFmtId="0" fontId="7" fillId="5" borderId="5" xfId="0" applyFont="1" applyFill="1" applyBorder="1" applyAlignment="1">
      <alignment horizontal="left" vertical="center"/>
    </xf>
    <xf numFmtId="0" fontId="7" fillId="5" borderId="6" xfId="0" applyFont="1" applyFill="1" applyBorder="1" applyAlignment="1">
      <alignment horizontal="left" vertical="center"/>
    </xf>
    <xf numFmtId="2" fontId="0" fillId="3" borderId="48" xfId="2" applyNumberFormat="1" applyFont="1" applyBorder="1" applyAlignment="1" applyProtection="1">
      <alignment horizontal="center" vertical="center"/>
    </xf>
    <xf numFmtId="2" fontId="0" fillId="3" borderId="14" xfId="2" applyNumberFormat="1" applyFont="1" applyBorder="1" applyAlignment="1" applyProtection="1">
      <alignment horizontal="center" vertical="center"/>
    </xf>
    <xf numFmtId="2" fontId="0" fillId="3" borderId="16" xfId="2" applyNumberFormat="1" applyFont="1" applyBorder="1" applyAlignment="1" applyProtection="1">
      <alignment horizontal="center" vertical="center"/>
    </xf>
    <xf numFmtId="2" fontId="0" fillId="7" borderId="51" xfId="2" applyNumberFormat="1" applyFont="1" applyFill="1" applyBorder="1" applyAlignment="1" applyProtection="1">
      <alignment horizontal="center" vertical="center"/>
    </xf>
    <xf numFmtId="2" fontId="0" fillId="7" borderId="0" xfId="2" applyNumberFormat="1" applyFont="1" applyFill="1" applyBorder="1" applyAlignment="1" applyProtection="1">
      <alignment horizontal="center" vertical="center"/>
    </xf>
    <xf numFmtId="2" fontId="0" fillId="7" borderId="18" xfId="2" applyNumberFormat="1" applyFont="1" applyFill="1" applyBorder="1" applyAlignment="1" applyProtection="1">
      <alignment horizontal="center" vertical="center"/>
    </xf>
    <xf numFmtId="2" fontId="0" fillId="7" borderId="49" xfId="2" applyNumberFormat="1" applyFont="1" applyFill="1" applyBorder="1" applyAlignment="1" applyProtection="1">
      <alignment horizontal="center" vertical="center"/>
    </xf>
    <xf numFmtId="2" fontId="0" fillId="7" borderId="23" xfId="2" applyNumberFormat="1" applyFont="1" applyFill="1" applyBorder="1" applyAlignment="1" applyProtection="1">
      <alignment horizontal="center" vertical="center"/>
    </xf>
    <xf numFmtId="2" fontId="0" fillId="7" borderId="20" xfId="2" applyNumberFormat="1" applyFont="1" applyFill="1" applyBorder="1" applyAlignment="1" applyProtection="1">
      <alignment horizontal="center" vertical="center"/>
    </xf>
    <xf numFmtId="166" fontId="0" fillId="0" borderId="48" xfId="0" applyNumberFormat="1" applyBorder="1" applyAlignment="1">
      <alignment horizontal="center"/>
    </xf>
    <xf numFmtId="166" fontId="0" fillId="0" borderId="9" xfId="0" applyNumberFormat="1" applyBorder="1" applyAlignment="1">
      <alignment horizontal="center"/>
    </xf>
    <xf numFmtId="4" fontId="3" fillId="3" borderId="36" xfId="2" applyNumberFormat="1" applyFont="1" applyBorder="1" applyAlignment="1">
      <alignment horizontal="left" vertical="center"/>
    </xf>
    <xf numFmtId="4" fontId="3" fillId="3" borderId="44" xfId="2" applyNumberFormat="1" applyFont="1" applyBorder="1" applyAlignment="1">
      <alignment horizontal="left" vertical="center"/>
    </xf>
    <xf numFmtId="4" fontId="3" fillId="3" borderId="45" xfId="2" applyNumberFormat="1" applyFont="1" applyBorder="1" applyAlignment="1">
      <alignment horizontal="left" vertical="center"/>
    </xf>
    <xf numFmtId="0" fontId="3" fillId="3" borderId="37" xfId="2" applyFont="1" applyBorder="1" applyAlignment="1">
      <alignment horizontal="left" vertical="center"/>
    </xf>
    <xf numFmtId="0" fontId="3" fillId="3" borderId="2" xfId="2" applyFont="1" applyAlignment="1">
      <alignment horizontal="left" vertical="center"/>
    </xf>
    <xf numFmtId="0" fontId="3" fillId="3" borderId="12" xfId="2" applyFont="1" applyBorder="1" applyAlignment="1">
      <alignment horizontal="left" vertical="center"/>
    </xf>
    <xf numFmtId="0" fontId="3" fillId="3" borderId="46" xfId="2" applyFont="1" applyBorder="1" applyAlignment="1">
      <alignment horizontal="left" vertical="center"/>
    </xf>
    <xf numFmtId="0" fontId="3" fillId="3" borderId="47" xfId="2" applyFont="1" applyBorder="1" applyAlignment="1">
      <alignment horizontal="left" vertical="center"/>
    </xf>
    <xf numFmtId="0" fontId="3" fillId="3" borderId="35" xfId="2" applyFont="1" applyBorder="1" applyAlignment="1">
      <alignment horizontal="left" vertical="center"/>
    </xf>
    <xf numFmtId="166" fontId="0" fillId="8" borderId="51" xfId="0" applyNumberFormat="1" applyFill="1" applyBorder="1" applyAlignment="1">
      <alignment horizontal="center"/>
    </xf>
    <xf numFmtId="166" fontId="0" fillId="8" borderId="3" xfId="0" applyNumberFormat="1" applyFill="1" applyBorder="1" applyAlignment="1">
      <alignment horizontal="center"/>
    </xf>
    <xf numFmtId="166" fontId="0" fillId="8" borderId="49" xfId="0" applyNumberFormat="1" applyFill="1" applyBorder="1" applyAlignment="1">
      <alignment horizontal="center"/>
    </xf>
    <xf numFmtId="166" fontId="0" fillId="8" borderId="13" xfId="0" applyNumberFormat="1" applyFill="1" applyBorder="1" applyAlignment="1">
      <alignment horizontal="center"/>
    </xf>
    <xf numFmtId="0" fontId="7" fillId="5" borderId="5" xfId="0" applyFont="1" applyFill="1" applyBorder="1" applyAlignment="1">
      <alignment horizontal="center" vertical="center"/>
    </xf>
    <xf numFmtId="0" fontId="7" fillId="5" borderId="6" xfId="0" applyFont="1" applyFill="1" applyBorder="1" applyAlignment="1">
      <alignment horizontal="center" vertical="center"/>
    </xf>
    <xf numFmtId="0" fontId="0" fillId="0" borderId="51" xfId="0" applyBorder="1" applyAlignment="1">
      <alignment horizontal="center"/>
    </xf>
    <xf numFmtId="0" fontId="0" fillId="0" borderId="3" xfId="0" applyBorder="1" applyAlignment="1">
      <alignment horizontal="center"/>
    </xf>
    <xf numFmtId="2" fontId="0" fillId="3" borderId="51" xfId="2" applyNumberFormat="1" applyFont="1" applyBorder="1" applyAlignment="1" applyProtection="1">
      <alignment horizontal="center" vertical="center"/>
    </xf>
    <xf numFmtId="2" fontId="0" fillId="3" borderId="0" xfId="2" applyNumberFormat="1" applyFont="1" applyBorder="1" applyAlignment="1" applyProtection="1">
      <alignment horizontal="center" vertical="center"/>
    </xf>
    <xf numFmtId="2" fontId="0" fillId="3" borderId="18" xfId="2" applyNumberFormat="1" applyFont="1" applyBorder="1" applyAlignment="1" applyProtection="1">
      <alignment horizontal="center" vertical="center"/>
    </xf>
    <xf numFmtId="0" fontId="7" fillId="5" borderId="16" xfId="0" applyFont="1" applyFill="1" applyBorder="1" applyAlignment="1">
      <alignment horizontal="center" vertical="center" wrapText="1"/>
    </xf>
    <xf numFmtId="0" fontId="7" fillId="5" borderId="18" xfId="0" applyFont="1" applyFill="1" applyBorder="1" applyAlignment="1">
      <alignment horizontal="center" vertical="center" wrapText="1"/>
    </xf>
    <xf numFmtId="0" fontId="7" fillId="5" borderId="20" xfId="0" applyFont="1" applyFill="1" applyBorder="1" applyAlignment="1">
      <alignment horizontal="center" vertical="center" wrapText="1"/>
    </xf>
    <xf numFmtId="2" fontId="0" fillId="3" borderId="32" xfId="2" applyNumberFormat="1" applyFont="1" applyBorder="1" applyAlignment="1" applyProtection="1">
      <alignment horizontal="center" vertical="center"/>
    </xf>
    <xf numFmtId="2" fontId="0" fillId="3" borderId="33" xfId="2" applyNumberFormat="1" applyFont="1" applyBorder="1" applyAlignment="1" applyProtection="1">
      <alignment horizontal="center" vertical="center"/>
    </xf>
    <xf numFmtId="2" fontId="0" fillId="3" borderId="34" xfId="2" applyNumberFormat="1" applyFont="1" applyBorder="1" applyAlignment="1" applyProtection="1">
      <alignment horizontal="center" vertical="center"/>
    </xf>
    <xf numFmtId="2" fontId="0" fillId="7" borderId="26" xfId="2" applyNumberFormat="1" applyFont="1" applyFill="1" applyBorder="1" applyAlignment="1" applyProtection="1">
      <alignment horizontal="center" vertical="center"/>
    </xf>
    <xf numFmtId="2" fontId="0" fillId="7" borderId="27" xfId="2" applyNumberFormat="1" applyFont="1" applyFill="1" applyBorder="1" applyAlignment="1" applyProtection="1">
      <alignment horizontal="center" vertical="center"/>
    </xf>
    <xf numFmtId="2" fontId="0" fillId="7" borderId="30" xfId="2" applyNumberFormat="1" applyFont="1" applyFill="1" applyBorder="1" applyAlignment="1" applyProtection="1">
      <alignment horizontal="center" vertical="center"/>
    </xf>
    <xf numFmtId="2" fontId="8" fillId="0" borderId="0" xfId="0" applyNumberFormat="1" applyFont="1"/>
    <xf numFmtId="0" fontId="8" fillId="0" borderId="0" xfId="0" applyFont="1" applyAlignment="1">
      <alignment horizontal="center"/>
    </xf>
    <xf numFmtId="0" fontId="8" fillId="0" borderId="17" xfId="0" applyFont="1" applyBorder="1" applyAlignment="1">
      <alignment horizontal="center"/>
    </xf>
    <xf numFmtId="0" fontId="7" fillId="5" borderId="17" xfId="0" applyFont="1" applyFill="1" applyBorder="1" applyAlignment="1">
      <alignment horizontal="center" vertical="center"/>
    </xf>
    <xf numFmtId="2" fontId="3" fillId="9" borderId="15" xfId="0" applyNumberFormat="1" applyFont="1" applyFill="1" applyBorder="1" applyAlignment="1">
      <alignment horizontal="center" vertical="center" wrapText="1"/>
    </xf>
    <xf numFmtId="0" fontId="3" fillId="9" borderId="17" xfId="0" applyFont="1" applyFill="1" applyBorder="1" applyAlignment="1">
      <alignment horizontal="center" vertical="center" wrapText="1"/>
    </xf>
    <xf numFmtId="0" fontId="3" fillId="9" borderId="19" xfId="0" applyFont="1" applyFill="1" applyBorder="1" applyAlignment="1">
      <alignment horizontal="center" vertical="center" wrapText="1"/>
    </xf>
    <xf numFmtId="0" fontId="3" fillId="9" borderId="15" xfId="0" applyFont="1" applyFill="1" applyBorder="1" applyAlignment="1">
      <alignment horizontal="center" vertical="center" wrapText="1"/>
    </xf>
    <xf numFmtId="0" fontId="3" fillId="8" borderId="62" xfId="0" applyFont="1" applyFill="1" applyBorder="1" applyAlignment="1">
      <alignment horizontal="center" vertical="center"/>
    </xf>
    <xf numFmtId="0" fontId="0" fillId="6" borderId="63" xfId="1" applyNumberFormat="1" applyFont="1" applyFill="1" applyBorder="1" applyAlignment="1" applyProtection="1">
      <alignment horizontal="right" vertical="center"/>
      <protection locked="0"/>
    </xf>
    <xf numFmtId="2" fontId="1" fillId="7" borderId="62" xfId="2" applyNumberFormat="1" applyFont="1" applyFill="1" applyBorder="1" applyAlignment="1" applyProtection="1">
      <alignment horizontal="right" vertical="center"/>
    </xf>
    <xf numFmtId="2" fontId="1" fillId="7" borderId="64" xfId="2" applyNumberFormat="1" applyFont="1" applyFill="1" applyBorder="1" applyAlignment="1" applyProtection="1">
      <alignment horizontal="right" vertical="center"/>
    </xf>
  </cellXfs>
  <cellStyles count="4">
    <cellStyle name="Eingabe" xfId="1" builtinId="20"/>
    <cellStyle name="Link" xfId="3" builtinId="8"/>
    <cellStyle name="Notiz" xfId="2" builtinId="10"/>
    <cellStyle name="Standard" xfId="0" builtinId="0"/>
  </cellStyles>
  <dxfs count="2">
    <dxf>
      <font>
        <color theme="6" tint="-0.499984740745262"/>
      </font>
      <fill>
        <patternFill>
          <bgColor theme="6" tint="0.79998168889431442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de-DE">
                <a:solidFill>
                  <a:schemeClr val="tx1"/>
                </a:solidFill>
              </a:rPr>
              <a:t>Siebkurve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Siebdaten + Zusatzpunkte</c:v>
          </c:tx>
          <c:spPr>
            <a:ln w="25400" cap="rnd">
              <a:solidFill>
                <a:schemeClr val="bg2">
                  <a:lumMod val="25000"/>
                </a:schemeClr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147A-4DDF-966C-A32B6DA1657D}"/>
              </c:ext>
            </c:extLst>
          </c:dPt>
          <c:dPt>
            <c:idx val="1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147A-4DDF-966C-A32B6DA1657D}"/>
              </c:ext>
            </c:extLst>
          </c:dPt>
          <c:dPt>
            <c:idx val="2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3-147A-4DDF-966C-A32B6DA1657D}"/>
              </c:ext>
            </c:extLst>
          </c:dPt>
          <c:dPt>
            <c:idx val="3"/>
            <c:marker>
              <c:symbol val="circl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147A-4DDF-966C-A32B6DA1657D}"/>
              </c:ext>
            </c:extLst>
          </c:dPt>
          <c:dPt>
            <c:idx val="4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5-147A-4DDF-966C-A32B6DA1657D}"/>
              </c:ext>
            </c:extLst>
          </c:dPt>
          <c:dPt>
            <c:idx val="5"/>
            <c:marker>
              <c:symbol val="circl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147A-4DDF-966C-A32B6DA1657D}"/>
              </c:ext>
            </c:extLst>
          </c:dPt>
          <c:dPt>
            <c:idx val="6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7-147A-4DDF-966C-A32B6DA1657D}"/>
              </c:ext>
            </c:extLst>
          </c:dPt>
          <c:dPt>
            <c:idx val="7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147A-4DDF-966C-A32B6DA1657D}"/>
              </c:ext>
            </c:extLst>
          </c:dPt>
          <c:dPt>
            <c:idx val="8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9-147A-4DDF-966C-A32B6DA1657D}"/>
              </c:ext>
            </c:extLst>
          </c:dPt>
          <c:dPt>
            <c:idx val="9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A-147A-4DDF-966C-A32B6DA1657D}"/>
              </c:ext>
            </c:extLst>
          </c:dPt>
          <c:dPt>
            <c:idx val="10"/>
            <c:marker>
              <c:symbol val="circl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B-147A-4DDF-966C-A32B6DA1657D}"/>
              </c:ext>
            </c:extLst>
          </c:dPt>
          <c:dPt>
            <c:idx val="11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C-147A-4DDF-966C-A32B6DA1657D}"/>
              </c:ext>
            </c:extLst>
          </c:dPt>
          <c:dPt>
            <c:idx val="12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D-147A-4DDF-966C-A32B6DA1657D}"/>
              </c:ext>
            </c:extLst>
          </c:dPt>
          <c:dPt>
            <c:idx val="13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E-147A-4DDF-966C-A32B6DA1657D}"/>
              </c:ext>
            </c:extLst>
          </c:dPt>
          <c:dPt>
            <c:idx val="14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F-147A-4DDF-966C-A32B6DA1657D}"/>
              </c:ext>
            </c:extLst>
          </c:dPt>
          <c:dPt>
            <c:idx val="15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0-147A-4DDF-966C-A32B6DA1657D}"/>
              </c:ext>
            </c:extLst>
          </c:dPt>
          <c:dPt>
            <c:idx val="16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6C0D-4C54-A8D5-925A06E897FC}"/>
              </c:ext>
            </c:extLst>
          </c:dPt>
          <c:dPt>
            <c:idx val="17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6C0D-4C54-A8D5-925A06E897FC}"/>
              </c:ext>
            </c:extLst>
          </c:dPt>
          <c:dPt>
            <c:idx val="18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6C0D-4C54-A8D5-925A06E897FC}"/>
              </c:ext>
            </c:extLst>
          </c:dPt>
          <c:dPt>
            <c:idx val="19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3-6C0D-4C54-A8D5-925A06E897FC}"/>
              </c:ext>
            </c:extLst>
          </c:dPt>
          <c:dPt>
            <c:idx val="20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6C0D-4C54-A8D5-925A06E897FC}"/>
              </c:ext>
            </c:extLst>
          </c:dPt>
          <c:dPt>
            <c:idx val="21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5-6C0D-4C54-A8D5-925A06E897FC}"/>
              </c:ext>
            </c:extLst>
          </c:dPt>
          <c:dPt>
            <c:idx val="22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4122-46B2-9916-FBFFF0BC39E9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7"/>
              <c:pt idx="0">
                <c:v>1E-3</c:v>
              </c:pt>
              <c:pt idx="1">
                <c:v>2E-3</c:v>
              </c:pt>
              <c:pt idx="2">
                <c:v>0.02</c:v>
              </c:pt>
              <c:pt idx="3">
                <c:v>2.4E-2</c:v>
              </c:pt>
              <c:pt idx="4">
                <c:v>6.3E-2</c:v>
              </c:pt>
              <c:pt idx="5">
                <c:v>9.7000000000000003E-2</c:v>
              </c:pt>
              <c:pt idx="6">
                <c:v>0.125</c:v>
              </c:pt>
              <c:pt idx="7">
                <c:v>0.25</c:v>
              </c:pt>
              <c:pt idx="8">
                <c:v>0.5</c:v>
              </c:pt>
              <c:pt idx="9">
                <c:v>1</c:v>
              </c:pt>
              <c:pt idx="10">
                <c:v>1.0049999999999999</c:v>
              </c:pt>
              <c:pt idx="11">
                <c:v>2</c:v>
              </c:pt>
              <c:pt idx="12">
                <c:v>4</c:v>
              </c:pt>
              <c:pt idx="13">
                <c:v>8</c:v>
              </c:pt>
              <c:pt idx="14">
                <c:v>16</c:v>
              </c:pt>
              <c:pt idx="15">
                <c:v>22.4</c:v>
              </c:pt>
              <c:pt idx="16">
                <c:v>63</c:v>
              </c:pt>
            </c:numLit>
          </c:cat>
          <c:val>
            <c:numLit>
              <c:formatCode>General</c:formatCode>
              <c:ptCount val="17"/>
              <c:pt idx="0">
                <c:v>0</c:v>
              </c:pt>
              <c:pt idx="1">
                <c:v>4</c:v>
              </c:pt>
              <c:pt idx="2">
                <c:v>9</c:v>
              </c:pt>
              <c:pt idx="3">
                <c:v>10</c:v>
              </c:pt>
              <c:pt idx="4">
                <c:v>20.62</c:v>
              </c:pt>
              <c:pt idx="5">
                <c:v>30</c:v>
              </c:pt>
              <c:pt idx="6">
                <c:v>37.76</c:v>
              </c:pt>
              <c:pt idx="7">
                <c:v>47.87</c:v>
              </c:pt>
              <c:pt idx="8">
                <c:v>51.9</c:v>
              </c:pt>
              <c:pt idx="9">
                <c:v>59.97</c:v>
              </c:pt>
              <c:pt idx="10">
                <c:v>60</c:v>
              </c:pt>
              <c:pt idx="11">
                <c:v>66.02</c:v>
              </c:pt>
              <c:pt idx="12">
                <c:v>74.08</c:v>
              </c:pt>
              <c:pt idx="13">
                <c:v>80.36</c:v>
              </c:pt>
              <c:pt idx="14">
                <c:v>88.43</c:v>
              </c:pt>
              <c:pt idx="15">
                <c:v>91.46</c:v>
              </c:pt>
              <c:pt idx="16">
                <c:v>96.2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F-147A-4DDF-966C-A32B6DA1657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12700" cap="flat" cmpd="sng" algn="ctr">
              <a:gradFill flip="none" rotWithShape="1">
                <a:gsLst>
                  <a:gs pos="100000">
                    <a:schemeClr val="bg2">
                      <a:lumMod val="90000"/>
                    </a:schemeClr>
                  </a:gs>
                  <a:gs pos="8000">
                    <a:schemeClr val="bg2">
                      <a:lumMod val="25000"/>
                    </a:schemeClr>
                  </a:gs>
                </a:gsLst>
                <a:lin ang="5400000" scaled="1"/>
                <a:tileRect/>
              </a:gradFill>
              <a:round/>
            </a:ln>
            <a:effectLst/>
          </c:spPr>
        </c:dropLines>
        <c:smooth val="0"/>
        <c:axId val="614279775"/>
        <c:axId val="614281695"/>
      </c:lineChart>
      <c:catAx>
        <c:axId val="614279775"/>
        <c:scaling>
          <c:logBase val="2"/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>
                    <a:solidFill>
                      <a:schemeClr val="tx1"/>
                    </a:solidFill>
                  </a:rPr>
                  <a:t>Siebgrösse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@" sourceLinked="0"/>
        <c:majorTickMark val="none"/>
        <c:minorTickMark val="none"/>
        <c:tickLblPos val="low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3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14281695"/>
        <c:crosses val="autoZero"/>
        <c:auto val="0"/>
        <c:lblAlgn val="ctr"/>
        <c:lblOffset val="100"/>
        <c:noMultiLvlLbl val="0"/>
      </c:catAx>
      <c:valAx>
        <c:axId val="614281695"/>
        <c:scaling>
          <c:orientation val="minMax"/>
          <c:max val="100"/>
          <c:min val="0"/>
        </c:scaling>
        <c:delete val="1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>
                    <a:solidFill>
                      <a:schemeClr val="tx1"/>
                    </a:solidFill>
                  </a:rPr>
                  <a:t>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@" sourceLinked="0"/>
        <c:majorTickMark val="none"/>
        <c:minorTickMark val="none"/>
        <c:tickLblPos val="nextTo"/>
        <c:crossAx val="614279775"/>
        <c:crosses val="autoZero"/>
        <c:crossBetween val="midCat"/>
        <c:majorUnit val="10"/>
        <c:minorUnit val="2"/>
      </c:valAx>
      <c:spPr>
        <a:solidFill>
          <a:schemeClr val="bg2">
            <a:lumMod val="90000"/>
          </a:schemeClr>
        </a:solidFill>
        <a:ln>
          <a:solidFill>
            <a:schemeClr val="bg2">
              <a:lumMod val="2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1587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8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defRPr sz="900" kern="1200" spc="3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lt1">
            <a:lumMod val="85000"/>
          </a:schemeClr>
        </a:solidFill>
        <a:round/>
      </a:ln>
    </cs:spPr>
    <cs:defRPr sz="1000" kern="1200"/>
  </cs:chartArea>
  <cs:dataLabel>
    <cs:lnRef idx="0"/>
    <cs:fillRef idx="0">
      <cs:styleClr val="0"/>
    </cs:fillRef>
    <cs:effectRef idx="0"/>
    <cs:fontRef idx="minor">
      <a:schemeClr val="lt1"/>
    </cs:fontRef>
    <cs:spPr>
      <a:solidFill>
        <a:schemeClr val="phClr"/>
      </a:solidFill>
    </cs:spPr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5400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107822</xdr:colOff>
      <xdr:row>3</xdr:row>
      <xdr:rowOff>182379</xdr:rowOff>
    </xdr:from>
    <xdr:to>
      <xdr:col>35</xdr:col>
      <xdr:colOff>134329</xdr:colOff>
      <xdr:row>40</xdr:row>
      <xdr:rowOff>175688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9782EBFB-94CF-4A4F-981B-74705EC4A4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meile.jeremy@stud.bauschule.ch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S85"/>
  <sheetViews>
    <sheetView showGridLines="0" tabSelected="1" topLeftCell="A33" zoomScale="175" zoomScaleNormal="175" workbookViewId="0">
      <selection activeCell="D43" sqref="D43"/>
    </sheetView>
  </sheetViews>
  <sheetFormatPr baseColWidth="10" defaultColWidth="8.796875" defaultRowHeight="14.25" x14ac:dyDescent="0.45"/>
  <cols>
    <col min="1" max="1" width="5" customWidth="1"/>
    <col min="2" max="2" width="3.1328125" customWidth="1"/>
    <col min="3" max="3" width="1.6640625" customWidth="1"/>
    <col min="4" max="4" width="15.1328125" style="5" customWidth="1"/>
    <col min="5" max="5" width="17.796875" bestFit="1" customWidth="1"/>
    <col min="6" max="6" width="18.1328125" customWidth="1"/>
    <col min="7" max="8" width="22" customWidth="1"/>
    <col min="9" max="9" width="16.796875" customWidth="1"/>
    <col min="12" max="12" width="21.53125" bestFit="1" customWidth="1"/>
    <col min="13" max="18" width="8.46484375" customWidth="1"/>
  </cols>
  <sheetData>
    <row r="1" spans="1:19" ht="18.399999999999999" thickBot="1" x14ac:dyDescent="0.6">
      <c r="A1" s="1" t="s">
        <v>8</v>
      </c>
      <c r="B1" s="2"/>
      <c r="C1" s="2"/>
      <c r="D1" s="2"/>
      <c r="E1" s="3"/>
      <c r="F1" s="3"/>
      <c r="G1" s="49" t="s">
        <v>51</v>
      </c>
      <c r="H1" s="3"/>
      <c r="I1" s="3"/>
      <c r="J1" s="4" t="s">
        <v>5</v>
      </c>
      <c r="K1" s="47"/>
      <c r="L1" s="47"/>
      <c r="M1" s="47" t="s">
        <v>41</v>
      </c>
      <c r="N1" s="47" t="s">
        <v>37</v>
      </c>
      <c r="O1" s="47" t="s">
        <v>38</v>
      </c>
      <c r="P1" s="47" t="s">
        <v>39</v>
      </c>
      <c r="Q1" s="47" t="s">
        <v>40</v>
      </c>
      <c r="R1" s="47" t="s">
        <v>46</v>
      </c>
      <c r="S1" s="47"/>
    </row>
    <row r="2" spans="1:19" ht="14.65" thickBot="1" x14ac:dyDescent="0.5">
      <c r="H2" s="11"/>
      <c r="I2" s="11"/>
      <c r="J2" s="11"/>
      <c r="K2" s="47"/>
      <c r="L2" s="47" t="s">
        <v>45</v>
      </c>
      <c r="M2" s="48">
        <f>IF(OR(AND(ISNUMBER(F7), F7&gt;0), AND(ISNUMBER(F8), F8&gt;0)), G43/F43*(SUM(F7:F8)+F9/2), 0)</f>
        <v>0</v>
      </c>
      <c r="N2" s="48">
        <f>G43/F43*(SUM(F11:F18) + IF(OR(AND(ISNUMBER(F7), F7&gt;0), AND(ISNUMBER(F8), F8&gt;0)), F9/2, F9) + IF(SUM(F21:F25)&gt;0, F19/2, F19))</f>
        <v>29.949790794979076</v>
      </c>
      <c r="O2" s="48">
        <f>G43/F43*(SUM(F21:F25) + IF(SUM(F11:F18)&gt;0, F19/2, F19) + IF(SUM(F28:F38)&gt;0, F26/2, F26))</f>
        <v>49.430962343096233</v>
      </c>
      <c r="P2" s="48">
        <f>G43/F43*(SUM(F28:F38) + IF(SUM(F21:F25)&gt;0, F26/2, F26) + IF(AND(ISNUMBER(F41), F41&gt;0), F39/2, F39))</f>
        <v>8.569037656903765</v>
      </c>
      <c r="Q2" s="48">
        <f>IF(AND(ISNUMBER(F41), F41&gt;0), G43/F43*(F41+F39/2), 0)</f>
        <v>0</v>
      </c>
      <c r="R2" s="48">
        <f>SUM(M2:Q2)</f>
        <v>87.949790794979066</v>
      </c>
      <c r="S2" s="11"/>
    </row>
    <row r="3" spans="1:19" ht="14.65" thickBot="1" x14ac:dyDescent="0.5">
      <c r="C3" s="6"/>
      <c r="D3" s="12" t="s">
        <v>27</v>
      </c>
      <c r="E3" s="12" t="s">
        <v>15</v>
      </c>
      <c r="F3" s="12" t="s">
        <v>14</v>
      </c>
      <c r="G3" s="21" t="s">
        <v>25</v>
      </c>
      <c r="H3" s="11"/>
      <c r="I3" s="11"/>
      <c r="J3" s="11"/>
      <c r="K3" s="47"/>
      <c r="L3" s="47" t="s">
        <v>44</v>
      </c>
      <c r="M3" s="62">
        <f>(MAX(H7:H10)-MIN(H7:H10))</f>
        <v>0</v>
      </c>
      <c r="N3" s="62">
        <f>(MAX(H9:H20)-MIN(H9:H20))</f>
        <v>30.18410041841004</v>
      </c>
      <c r="O3" s="62">
        <f>(MAX(H19:H27)-MIN(H19:H27))</f>
        <v>45.397489539748946</v>
      </c>
      <c r="P3" s="62">
        <f>(MAX(H26:H40)-MIN(H26:H40))</f>
        <v>16.61924686192469</v>
      </c>
      <c r="Q3" s="62">
        <f>IF(AND(ISNUMBER(H41), H39&gt;0), MAX(H39:H41), MAX(H40:H41))</f>
        <v>0</v>
      </c>
      <c r="R3" s="48">
        <f>SUM(M3:Q3)</f>
        <v>92.20083682008368</v>
      </c>
      <c r="S3" s="11"/>
    </row>
    <row r="4" spans="1:19" ht="14.65" thickBot="1" x14ac:dyDescent="0.5">
      <c r="D4" s="22">
        <v>11950</v>
      </c>
      <c r="E4" s="23">
        <v>45</v>
      </c>
      <c r="F4" s="23">
        <v>15</v>
      </c>
      <c r="G4" s="24" t="s">
        <v>22</v>
      </c>
      <c r="H4" s="11"/>
      <c r="I4" s="11"/>
      <c r="J4" s="11"/>
      <c r="K4" s="47"/>
      <c r="L4" s="47"/>
      <c r="M4" s="47"/>
      <c r="N4" s="47"/>
      <c r="O4" s="47"/>
      <c r="P4" s="62"/>
      <c r="Q4" s="47"/>
      <c r="R4" s="47"/>
      <c r="S4" s="11"/>
    </row>
    <row r="5" spans="1:19" ht="14.65" thickBot="1" x14ac:dyDescent="0.5"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</row>
    <row r="6" spans="1:19" ht="14.65" thickBot="1" x14ac:dyDescent="0.5">
      <c r="C6" s="6"/>
      <c r="D6" s="12" t="s">
        <v>18</v>
      </c>
      <c r="E6" s="7" t="s">
        <v>10</v>
      </c>
      <c r="F6" s="7" t="s">
        <v>11</v>
      </c>
      <c r="G6" s="7" t="s">
        <v>12</v>
      </c>
      <c r="H6" s="8" t="s">
        <v>13</v>
      </c>
      <c r="J6" s="11"/>
      <c r="K6" s="11"/>
      <c r="L6" s="11"/>
      <c r="M6" s="11"/>
      <c r="N6" s="11"/>
      <c r="O6" s="11"/>
      <c r="P6" s="11"/>
      <c r="Q6" s="11"/>
      <c r="R6" s="11"/>
    </row>
    <row r="7" spans="1:19" ht="14.55" customHeight="1" x14ac:dyDescent="0.45">
      <c r="D7" s="153" t="str">
        <f>"Steine " &amp; TEXT(M3, "0.00") &amp; " %"</f>
        <v>Steine 0.00 %</v>
      </c>
      <c r="E7" s="29">
        <v>125</v>
      </c>
      <c r="F7" s="53"/>
      <c r="G7" s="60" t="str">
        <f t="shared" ref="G7:G8" si="0">IF(AND(ISNUMBER(F7), F7&lt;&gt;0, ISNUMBER($D$4), $D$4&gt;0), 100/$D$4*F7, "-")</f>
        <v>-</v>
      </c>
      <c r="H7" s="44" t="str">
        <f>IF(ISNUMBER(G7), 100 - G7, "-")</f>
        <v>-</v>
      </c>
      <c r="J7" s="11"/>
      <c r="K7" s="11"/>
      <c r="L7" s="11"/>
      <c r="M7" s="11"/>
      <c r="N7" s="11"/>
      <c r="O7" s="11"/>
      <c r="P7" s="11"/>
      <c r="Q7" s="11"/>
      <c r="R7" s="11"/>
    </row>
    <row r="8" spans="1:19" ht="14.55" customHeight="1" x14ac:dyDescent="0.45">
      <c r="D8" s="154"/>
      <c r="E8" s="30">
        <v>90</v>
      </c>
      <c r="F8" s="52"/>
      <c r="G8" s="61" t="str">
        <f t="shared" si="0"/>
        <v>-</v>
      </c>
      <c r="H8" s="45" t="str">
        <f>IF(ISNUMBER(G8), IF(ISNUMBER(H7), H7, IF(COUNT(H$7:H7)&gt;0, MIN(H$7:H7), 100)) - G8, "-")</f>
        <v>-</v>
      </c>
      <c r="J8" s="11"/>
      <c r="K8" s="11"/>
      <c r="L8" s="11"/>
      <c r="M8" s="11"/>
      <c r="N8" s="11"/>
      <c r="O8" s="11"/>
      <c r="P8" s="11"/>
      <c r="Q8" s="11"/>
      <c r="R8" s="11"/>
    </row>
    <row r="9" spans="1:19" ht="7.25" customHeight="1" thickBot="1" x14ac:dyDescent="0.5">
      <c r="D9" s="155"/>
      <c r="E9" s="86">
        <v>63</v>
      </c>
      <c r="F9" s="87">
        <v>454</v>
      </c>
      <c r="G9" s="89">
        <f>IF(AND(ISNUMBER(F9), F9&lt;&gt;0, ISNUMBER($D$4), $D$4&gt;0), 100/$D$4*F9, "-")</f>
        <v>3.7991631799163175</v>
      </c>
      <c r="H9" s="91">
        <f>IF(ISNUMBER(G9), IF(ISNUMBER(H8), H8, IF(COUNT(H$7:H8)&gt;0, MIN(H$7:H8), 100)) - G9, "-")</f>
        <v>96.20083682008368</v>
      </c>
      <c r="J9" s="150"/>
      <c r="K9" s="11"/>
      <c r="L9" s="11"/>
      <c r="M9" s="11"/>
      <c r="N9" s="11"/>
      <c r="O9" s="11"/>
      <c r="P9" s="11"/>
      <c r="Q9" s="11"/>
      <c r="R9" s="11"/>
    </row>
    <row r="10" spans="1:19" ht="7.25" customHeight="1" x14ac:dyDescent="0.45">
      <c r="B10" s="67" t="str">
        <f>"Grobkörnig = " &amp; TEXT(N3+O3, "0.00") &amp; " %"</f>
        <v>Grobkörnig = 75.58 %</v>
      </c>
      <c r="C10" s="68"/>
      <c r="D10" s="156" t="str">
        <f>"Kies " &amp; TEXT(N3, "0.00") &amp; " %"</f>
        <v>Kies 30.18 %</v>
      </c>
      <c r="E10" s="86"/>
      <c r="F10" s="88"/>
      <c r="G10" s="90"/>
      <c r="H10" s="92"/>
      <c r="J10" s="150"/>
      <c r="K10" s="11"/>
      <c r="L10" s="11"/>
      <c r="M10" s="11"/>
      <c r="N10" s="11"/>
      <c r="O10" s="11"/>
      <c r="P10" s="11"/>
      <c r="Q10" s="11"/>
      <c r="R10" s="11"/>
    </row>
    <row r="11" spans="1:19" ht="14.55" customHeight="1" x14ac:dyDescent="0.45">
      <c r="B11" s="69"/>
      <c r="C11" s="70"/>
      <c r="D11" s="154"/>
      <c r="E11" s="30">
        <v>45</v>
      </c>
      <c r="F11" s="55"/>
      <c r="G11" s="61" t="str">
        <f t="shared" ref="G11:G42" si="1">IF(AND(ISNUMBER(F11), F11&lt;&gt;0, ISNUMBER($D$4), $D$4&gt;0), 100/$D$4*F11, "-")</f>
        <v>-</v>
      </c>
      <c r="H11" s="45" t="str">
        <f>IF(ISNUMBER(G11), IF(ISNUMBER(H9), H9, MIN(H$7:H10)) - G11, "-")</f>
        <v>-</v>
      </c>
      <c r="J11" s="11"/>
      <c r="K11" s="11"/>
      <c r="L11" s="11"/>
      <c r="M11" s="11"/>
      <c r="N11" s="11"/>
      <c r="O11" s="11"/>
      <c r="P11" s="11"/>
      <c r="Q11" s="11"/>
      <c r="R11" s="11"/>
    </row>
    <row r="12" spans="1:19" ht="14.55" customHeight="1" x14ac:dyDescent="0.45">
      <c r="B12" s="69"/>
      <c r="C12" s="70"/>
      <c r="D12" s="154"/>
      <c r="E12" s="31">
        <v>31.5</v>
      </c>
      <c r="F12" s="56"/>
      <c r="G12" s="51" t="str">
        <f t="shared" si="1"/>
        <v>-</v>
      </c>
      <c r="H12" s="46" t="str">
        <f>IF(ISNUMBER(G12), IF(ISNUMBER(H11), H11, IF(COUNT(H$7:H11)&gt;0, MIN(H$7:H11), 100)) - G12, "-")</f>
        <v>-</v>
      </c>
      <c r="J12" s="11"/>
      <c r="K12" s="11"/>
      <c r="L12" s="11"/>
      <c r="M12" s="11"/>
      <c r="N12" s="11"/>
      <c r="O12" s="11"/>
      <c r="P12" s="11"/>
      <c r="Q12" s="11"/>
      <c r="R12" s="11"/>
    </row>
    <row r="13" spans="1:19" ht="14.55" customHeight="1" thickBot="1" x14ac:dyDescent="0.5">
      <c r="B13" s="69"/>
      <c r="C13" s="70"/>
      <c r="D13" s="154"/>
      <c r="E13" s="30">
        <v>22.4</v>
      </c>
      <c r="F13" s="55">
        <v>567</v>
      </c>
      <c r="G13" s="61">
        <f t="shared" si="1"/>
        <v>4.7447698744769866</v>
      </c>
      <c r="H13" s="45">
        <f>IF(ISNUMBER(G13), IF(ISNUMBER(H12), H12, IF(COUNT(H$7:H12)&gt;0, MIN(H$7:H12), 100)) - G13, "-")</f>
        <v>91.456066945606693</v>
      </c>
      <c r="J13" s="11"/>
      <c r="K13" s="11"/>
      <c r="L13" s="11"/>
      <c r="M13" s="11"/>
      <c r="N13" s="11"/>
      <c r="O13" s="11"/>
      <c r="P13" s="11"/>
      <c r="Q13" s="11"/>
      <c r="R13" s="11"/>
    </row>
    <row r="14" spans="1:19" ht="14.55" customHeight="1" x14ac:dyDescent="0.45">
      <c r="B14" s="69"/>
      <c r="C14" s="70"/>
      <c r="D14" s="154"/>
      <c r="E14" s="31">
        <v>16</v>
      </c>
      <c r="F14" s="56">
        <v>362</v>
      </c>
      <c r="G14" s="51">
        <f t="shared" si="1"/>
        <v>3.02928870292887</v>
      </c>
      <c r="H14" s="46">
        <f>IF(ISNUMBER(G14), IF(ISNUMBER(H13), H13, IF(COUNT(H$7:H13)&gt;0, MIN(H$7:H13), 100)) - G14, "-")</f>
        <v>88.426778242677827</v>
      </c>
      <c r="I14" s="140" t="s">
        <v>42</v>
      </c>
      <c r="J14" s="11"/>
      <c r="K14" s="11"/>
      <c r="L14" s="11"/>
      <c r="M14" s="11"/>
      <c r="N14" s="11"/>
      <c r="O14" s="11"/>
      <c r="P14" s="11"/>
      <c r="Q14" s="11"/>
      <c r="R14" s="11"/>
    </row>
    <row r="15" spans="1:19" ht="14.55" customHeight="1" x14ac:dyDescent="0.45">
      <c r="B15" s="69"/>
      <c r="C15" s="70"/>
      <c r="D15" s="154"/>
      <c r="E15" s="30">
        <v>11.2</v>
      </c>
      <c r="F15" s="55"/>
      <c r="G15" s="61" t="str">
        <f t="shared" si="1"/>
        <v>-</v>
      </c>
      <c r="H15" s="45" t="str">
        <f>IF(ISNUMBER(G15), IF(ISNUMBER(H14), H14, IF(COUNT(H$7:H14)&gt;0, MIN(H$7:H14), 100)) - G15, "-")</f>
        <v>-</v>
      </c>
      <c r="I15" s="141"/>
      <c r="J15" s="11"/>
      <c r="K15" s="11"/>
      <c r="L15" s="11"/>
      <c r="M15" s="11"/>
      <c r="N15" s="11"/>
      <c r="O15" s="11"/>
      <c r="P15" s="11"/>
      <c r="Q15" s="11"/>
      <c r="R15" s="11"/>
    </row>
    <row r="16" spans="1:19" ht="14.55" customHeight="1" x14ac:dyDescent="0.45">
      <c r="B16" s="69"/>
      <c r="C16" s="70"/>
      <c r="D16" s="154"/>
      <c r="E16" s="31">
        <v>8</v>
      </c>
      <c r="F16" s="56">
        <v>964</v>
      </c>
      <c r="G16" s="51">
        <f t="shared" si="1"/>
        <v>8.06694560669456</v>
      </c>
      <c r="H16" s="46">
        <f>IF(ISNUMBER(G16), IF(ISNUMBER(H15), H15, IF(COUNT(H$7:H15)&gt;0, MIN(H$7:H15), 100)) - G16, "-")</f>
        <v>80.359832635983267</v>
      </c>
      <c r="I16" s="141"/>
      <c r="J16" s="11"/>
      <c r="K16" s="11"/>
      <c r="L16" s="11"/>
      <c r="M16" s="11"/>
      <c r="N16" s="11"/>
      <c r="O16" s="11"/>
      <c r="P16" s="11"/>
      <c r="Q16" s="11"/>
      <c r="R16" s="11"/>
    </row>
    <row r="17" spans="2:18" ht="14.55" customHeight="1" x14ac:dyDescent="0.45">
      <c r="B17" s="69"/>
      <c r="C17" s="70"/>
      <c r="D17" s="154"/>
      <c r="E17" s="30">
        <v>5.6</v>
      </c>
      <c r="F17" s="55"/>
      <c r="G17" s="61" t="str">
        <f t="shared" si="1"/>
        <v>-</v>
      </c>
      <c r="H17" s="45" t="str">
        <f>IF(ISNUMBER(G17), IF(ISNUMBER(H16), H16, IF(COUNT(H$7:H16)&gt;0, MIN(H$7:H16), 100)) - G17, "-")</f>
        <v>-</v>
      </c>
      <c r="I17" s="141"/>
      <c r="J17" s="11"/>
      <c r="K17" s="11"/>
      <c r="L17" s="11"/>
      <c r="M17" s="11"/>
      <c r="N17" s="11"/>
      <c r="O17" s="11"/>
      <c r="P17" s="11"/>
      <c r="Q17" s="11"/>
      <c r="R17" s="11"/>
    </row>
    <row r="18" spans="2:18" ht="14.55" customHeight="1" x14ac:dyDescent="0.45">
      <c r="B18" s="69"/>
      <c r="C18" s="70"/>
      <c r="D18" s="154"/>
      <c r="E18" s="31">
        <v>4</v>
      </c>
      <c r="F18" s="56">
        <v>750</v>
      </c>
      <c r="G18" s="51">
        <f t="shared" si="1"/>
        <v>6.2761506276150625</v>
      </c>
      <c r="H18" s="46">
        <f>IF(ISNUMBER(G18), IF(ISNUMBER(H17), H17, IF(COUNT(H$7:H17)&gt;0, MIN(H$7:H17), 100)) - G18, "-")</f>
        <v>74.0836820083682</v>
      </c>
      <c r="I18" s="141"/>
      <c r="J18" s="149"/>
      <c r="K18" s="11"/>
      <c r="L18" s="11"/>
      <c r="M18" s="11"/>
      <c r="N18" s="11"/>
      <c r="O18" s="11"/>
      <c r="P18" s="11"/>
      <c r="Q18" s="11"/>
      <c r="R18" s="11"/>
    </row>
    <row r="19" spans="2:18" ht="7.25" customHeight="1" thickBot="1" x14ac:dyDescent="0.5">
      <c r="B19" s="69"/>
      <c r="C19" s="70"/>
      <c r="D19" s="155"/>
      <c r="E19" s="93">
        <v>2</v>
      </c>
      <c r="F19" s="80">
        <v>964</v>
      </c>
      <c r="G19" s="82">
        <f t="shared" si="1"/>
        <v>8.06694560669456</v>
      </c>
      <c r="H19" s="84">
        <f>IF(ISNUMBER(G19), IF(ISNUMBER(H18), H18, IF(COUNT(H$7:H18)&gt;0, MIN(H$7:H18), 100)) - G19, "-")</f>
        <v>66.01673640167364</v>
      </c>
      <c r="I19" s="141"/>
      <c r="J19" s="151"/>
      <c r="K19" s="11"/>
      <c r="L19" s="11"/>
      <c r="M19" s="11"/>
      <c r="N19" s="11"/>
      <c r="O19" s="11"/>
      <c r="P19" s="11"/>
      <c r="Q19" s="11"/>
      <c r="R19" s="11"/>
    </row>
    <row r="20" spans="2:18" ht="7.25" customHeight="1" x14ac:dyDescent="0.45">
      <c r="B20" s="69"/>
      <c r="C20" s="70"/>
      <c r="D20" s="156" t="str">
        <f>"Sand " &amp; TEXT(O3, "0.00") &amp; " %"</f>
        <v>Sand 45.40 %</v>
      </c>
      <c r="E20" s="93"/>
      <c r="F20" s="81"/>
      <c r="G20" s="83"/>
      <c r="H20" s="85"/>
      <c r="I20" s="141"/>
      <c r="J20" s="151"/>
      <c r="K20" s="11"/>
      <c r="L20" s="11"/>
      <c r="M20" s="11"/>
      <c r="N20" s="11"/>
      <c r="O20" s="11"/>
      <c r="P20" s="11"/>
      <c r="Q20" s="11"/>
      <c r="R20" s="11"/>
    </row>
    <row r="21" spans="2:18" ht="14.55" customHeight="1" x14ac:dyDescent="0.45">
      <c r="B21" s="69"/>
      <c r="C21" s="70"/>
      <c r="D21" s="154"/>
      <c r="E21" s="31">
        <v>1</v>
      </c>
      <c r="F21" s="56">
        <v>723</v>
      </c>
      <c r="G21" s="51">
        <f t="shared" si="1"/>
        <v>6.05020920502092</v>
      </c>
      <c r="H21" s="46">
        <f>IF(ISNUMBER(G21), IF(ISNUMBER(H20), H20, IF(COUNT(H$7:H20)&gt;0, MIN(H$7:H20), 100)) - G21, "-")</f>
        <v>59.96652719665272</v>
      </c>
      <c r="I21" s="141"/>
      <c r="J21" s="11"/>
      <c r="K21" s="11"/>
      <c r="L21" s="11"/>
      <c r="M21" s="11"/>
      <c r="N21" s="11"/>
      <c r="O21" s="11"/>
      <c r="P21" s="11"/>
      <c r="Q21" s="11"/>
      <c r="R21" s="11"/>
    </row>
    <row r="22" spans="2:18" ht="14.55" customHeight="1" x14ac:dyDescent="0.45">
      <c r="B22" s="69"/>
      <c r="C22" s="70"/>
      <c r="D22" s="154"/>
      <c r="E22" s="30">
        <v>0.5</v>
      </c>
      <c r="F22" s="55">
        <v>964</v>
      </c>
      <c r="G22" s="61">
        <f t="shared" si="1"/>
        <v>8.06694560669456</v>
      </c>
      <c r="H22" s="45">
        <f>IF(ISNUMBER(G22), IF(ISNUMBER(H21), H21, IF(COUNT(H$7:H21)&gt;0, MIN(H$7:H21), 100)) - G22, "-")</f>
        <v>51.89958158995816</v>
      </c>
      <c r="I22" s="141"/>
      <c r="J22" s="11"/>
      <c r="K22" s="11"/>
      <c r="L22" s="11"/>
      <c r="M22" s="11"/>
      <c r="N22" s="11"/>
      <c r="O22" s="11"/>
      <c r="P22" s="11"/>
      <c r="Q22" s="11"/>
      <c r="R22" s="11"/>
    </row>
    <row r="23" spans="2:18" ht="14.55" customHeight="1" x14ac:dyDescent="0.45">
      <c r="B23" s="69"/>
      <c r="C23" s="70"/>
      <c r="D23" s="154"/>
      <c r="E23" s="31">
        <v>0.25</v>
      </c>
      <c r="F23" s="56">
        <v>482</v>
      </c>
      <c r="G23" s="51">
        <f t="shared" si="1"/>
        <v>4.03347280334728</v>
      </c>
      <c r="H23" s="46">
        <f>IF(ISNUMBER(G23), IF(ISNUMBER(H22), H22, IF(COUNT(H$7:H22)&gt;0, MIN(H$7:H22), 100)) - G23, "-")</f>
        <v>47.86610878661088</v>
      </c>
      <c r="I23" s="141"/>
      <c r="J23" s="11"/>
      <c r="K23" s="11"/>
      <c r="L23" s="11"/>
      <c r="M23" s="11"/>
      <c r="N23" s="11"/>
      <c r="O23" s="11"/>
      <c r="P23" s="11"/>
      <c r="Q23" s="11"/>
      <c r="R23" s="11"/>
    </row>
    <row r="24" spans="2:18" ht="14.55" customHeight="1" x14ac:dyDescent="0.45">
      <c r="B24" s="69"/>
      <c r="C24" s="70"/>
      <c r="D24" s="154"/>
      <c r="E24" s="30">
        <v>0.2</v>
      </c>
      <c r="F24" s="55"/>
      <c r="G24" s="61" t="str">
        <f t="shared" si="1"/>
        <v>-</v>
      </c>
      <c r="H24" s="45" t="str">
        <f>IF(ISNUMBER(G24), IF(ISNUMBER(H23), H23, IF(COUNT(H$7:H23)&gt;0, MIN(H$7:H23), 100)) - G24, "-")</f>
        <v>-</v>
      </c>
      <c r="I24" s="141"/>
      <c r="J24" s="11"/>
      <c r="K24" s="11"/>
      <c r="L24" s="11"/>
      <c r="M24" s="11"/>
      <c r="N24" s="11"/>
      <c r="O24" s="11"/>
      <c r="P24" s="11"/>
      <c r="Q24" s="11"/>
      <c r="R24" s="11"/>
    </row>
    <row r="25" spans="2:18" ht="14.55" customHeight="1" thickBot="1" x14ac:dyDescent="0.5">
      <c r="B25" s="69"/>
      <c r="C25" s="70"/>
      <c r="D25" s="154"/>
      <c r="E25" s="31">
        <v>0.125</v>
      </c>
      <c r="F25" s="56">
        <v>1208</v>
      </c>
      <c r="G25" s="51">
        <f t="shared" si="1"/>
        <v>10.10878661087866</v>
      </c>
      <c r="H25" s="46">
        <f>IF(ISNUMBER(G25), IF(ISNUMBER(H24), H24, IF(COUNT(H$7:H24)&gt;0, MIN(H$7:H24), 100)) - G25, "-")</f>
        <v>37.75732217573222</v>
      </c>
      <c r="I25" s="142"/>
      <c r="J25" s="149"/>
      <c r="K25" s="11"/>
      <c r="L25" s="11"/>
      <c r="M25" s="11"/>
      <c r="N25" s="11"/>
      <c r="O25" s="11"/>
      <c r="P25" s="11"/>
      <c r="Q25" s="11"/>
      <c r="R25" s="11"/>
    </row>
    <row r="26" spans="2:18" ht="7.25" customHeight="1" thickBot="1" x14ac:dyDescent="0.5">
      <c r="B26" s="71"/>
      <c r="C26" s="72"/>
      <c r="D26" s="155"/>
      <c r="E26" s="79">
        <v>6.3E-2</v>
      </c>
      <c r="F26" s="80">
        <v>2048</v>
      </c>
      <c r="G26" s="82">
        <f t="shared" si="1"/>
        <v>17.13807531380753</v>
      </c>
      <c r="H26" s="84">
        <f>IF(ISNUMBER(I26), I26, IF(ISNUMBER(G26), IF(ISNUMBER(H25), H25, IF(COUNT(H$7:H25)&gt;0, MIN(H$7:H25), 100)) - G26, "-"))</f>
        <v>20.61924686192469</v>
      </c>
      <c r="I26" s="75"/>
      <c r="J26" s="151"/>
      <c r="K26" s="11"/>
      <c r="L26" s="11"/>
      <c r="M26" s="11"/>
      <c r="N26" s="11"/>
      <c r="O26" s="11"/>
      <c r="P26" s="11"/>
      <c r="Q26" s="11"/>
      <c r="R26" s="11"/>
    </row>
    <row r="27" spans="2:18" ht="7.25" customHeight="1" x14ac:dyDescent="0.45">
      <c r="B27" s="67" t="str">
        <f>"Feinkörnig = " &amp; TEXT(P3+Q3, "0.00") &amp; " %"</f>
        <v>Feinkörnig = 16.62 %</v>
      </c>
      <c r="C27" s="68"/>
      <c r="D27" s="156" t="str">
        <f>"Silt " &amp; TEXT(P3, "0.00") &amp; " %"</f>
        <v>Silt 16.62 %</v>
      </c>
      <c r="E27" s="79"/>
      <c r="F27" s="81"/>
      <c r="G27" s="83"/>
      <c r="H27" s="85"/>
      <c r="I27" s="74"/>
      <c r="J27" s="151"/>
      <c r="K27" s="11"/>
      <c r="L27" s="11"/>
      <c r="M27" s="11"/>
      <c r="N27" s="11"/>
      <c r="O27" s="11"/>
      <c r="P27" s="11"/>
      <c r="Q27" s="11"/>
      <c r="R27" s="11"/>
    </row>
    <row r="28" spans="2:18" ht="14.45" customHeight="1" x14ac:dyDescent="0.45">
      <c r="B28" s="69"/>
      <c r="C28" s="70"/>
      <c r="D28" s="154"/>
      <c r="E28" s="31">
        <v>0.06</v>
      </c>
      <c r="F28" s="54"/>
      <c r="G28" s="51" t="str">
        <f t="shared" si="1"/>
        <v>-</v>
      </c>
      <c r="H28" s="46" t="str">
        <f>IF(ISNUMBER(I28), I28, IF(ISNUMBER(G28), IF(ISNUMBER(H26), H26, IF(COUNT(H$7:H26)&gt;0, MIN(H$7:H26), 100)) - G28, "-"))</f>
        <v>-</v>
      </c>
      <c r="I28" s="57"/>
      <c r="J28" s="149"/>
      <c r="K28" s="11"/>
      <c r="L28" s="11"/>
      <c r="M28" s="11"/>
      <c r="N28" s="11"/>
      <c r="O28" s="11"/>
      <c r="P28" s="11"/>
      <c r="Q28" s="11"/>
      <c r="R28" s="11"/>
    </row>
    <row r="29" spans="2:18" ht="14.55" customHeight="1" x14ac:dyDescent="0.45">
      <c r="B29" s="69"/>
      <c r="C29" s="70"/>
      <c r="D29" s="154"/>
      <c r="E29" s="30">
        <v>0.05</v>
      </c>
      <c r="F29" s="55"/>
      <c r="G29" s="61" t="str">
        <f t="shared" si="1"/>
        <v>-</v>
      </c>
      <c r="H29" s="45" t="str">
        <f>IF(ISNUMBER(I29), I29, IF(ISNUMBER(G29), IF(ISNUMBER(H27), H27, IF(COUNT(H$7:H27)&gt;0, MIN(H$7:H27), 100)) - G29, "-"))</f>
        <v>-</v>
      </c>
      <c r="I29" s="58"/>
      <c r="J29" s="11"/>
      <c r="K29" s="11"/>
      <c r="L29" s="11"/>
      <c r="M29" s="11"/>
      <c r="N29" s="11"/>
      <c r="O29" s="11"/>
      <c r="P29" s="11"/>
      <c r="Q29" s="11"/>
      <c r="R29" s="11"/>
    </row>
    <row r="30" spans="2:18" ht="14.55" customHeight="1" x14ac:dyDescent="0.45">
      <c r="B30" s="69"/>
      <c r="C30" s="70"/>
      <c r="D30" s="154"/>
      <c r="E30" s="31">
        <v>0.04</v>
      </c>
      <c r="F30" s="56"/>
      <c r="G30" s="51" t="str">
        <f t="shared" si="1"/>
        <v>-</v>
      </c>
      <c r="H30" s="46" t="str">
        <f>IF(ISNUMBER(I30), I30, IF(ISNUMBER(G30), IF(ISNUMBER(H29), H29, IF(COUNT(H$7:H29)&gt;0, MIN(H$7:H29), 100)) - G30, "-"))</f>
        <v>-</v>
      </c>
      <c r="I30" s="57"/>
      <c r="J30" s="11"/>
      <c r="K30" s="11"/>
      <c r="L30" s="11"/>
      <c r="M30" s="11"/>
      <c r="N30" s="11"/>
      <c r="O30" s="11"/>
      <c r="P30" s="11"/>
      <c r="Q30" s="11"/>
      <c r="R30" s="11"/>
    </row>
    <row r="31" spans="2:18" ht="14.55" customHeight="1" x14ac:dyDescent="0.45">
      <c r="B31" s="69"/>
      <c r="C31" s="70"/>
      <c r="D31" s="154"/>
      <c r="E31" s="30">
        <v>0.03</v>
      </c>
      <c r="F31" s="55"/>
      <c r="G31" s="61" t="str">
        <f t="shared" si="1"/>
        <v>-</v>
      </c>
      <c r="H31" s="45" t="str">
        <f>IF(ISNUMBER(I31), I31, IF(ISNUMBER(G31), IF(ISNUMBER(H30), H30, IF(COUNT(H$7:H30)&gt;0, MIN(H$7:H30), 100)) - G31, "-"))</f>
        <v>-</v>
      </c>
      <c r="I31" s="58"/>
      <c r="J31" s="11"/>
      <c r="K31" s="11"/>
      <c r="L31" s="11"/>
      <c r="M31" s="11"/>
      <c r="N31" s="11"/>
      <c r="O31" s="11"/>
      <c r="P31" s="11"/>
      <c r="Q31" s="11"/>
      <c r="R31" s="11"/>
    </row>
    <row r="32" spans="2:18" ht="14.55" customHeight="1" x14ac:dyDescent="0.45">
      <c r="B32" s="69"/>
      <c r="C32" s="70"/>
      <c r="D32" s="154"/>
      <c r="E32" s="31">
        <v>0.02</v>
      </c>
      <c r="F32" s="56"/>
      <c r="G32" s="51" t="str">
        <f t="shared" si="1"/>
        <v>-</v>
      </c>
      <c r="H32" s="46">
        <f>IF(ISNUMBER(I32), I32, IF(ISNUMBER(G32), IF(ISNUMBER(H31), H31, IF(COUNT(H$7:H31)&gt;0, MIN(H$7:H31), 100)) - G32, "-"))</f>
        <v>9</v>
      </c>
      <c r="I32" s="57">
        <v>9</v>
      </c>
      <c r="J32" s="11"/>
      <c r="K32" s="11"/>
      <c r="L32" s="11"/>
      <c r="M32" s="11"/>
      <c r="N32" s="11"/>
      <c r="O32" s="11"/>
      <c r="P32" s="11"/>
      <c r="Q32" s="11"/>
      <c r="R32" s="11"/>
    </row>
    <row r="33" spans="2:18" ht="14.55" customHeight="1" x14ac:dyDescent="0.45">
      <c r="B33" s="69"/>
      <c r="C33" s="70"/>
      <c r="D33" s="154"/>
      <c r="E33" s="30">
        <v>1.4999999999999999E-2</v>
      </c>
      <c r="F33" s="55"/>
      <c r="G33" s="61" t="str">
        <f t="shared" si="1"/>
        <v>-</v>
      </c>
      <c r="H33" s="45" t="str">
        <f>IF(ISNUMBER(I33), I33, IF(ISNUMBER(G33), IF(ISNUMBER(H32), H32, IF(COUNT(H$7:H32)&gt;0, MIN(H$7:H32), 100)) - G33, "-"))</f>
        <v>-</v>
      </c>
      <c r="I33" s="58"/>
      <c r="J33" s="11"/>
      <c r="K33" s="11"/>
      <c r="L33" s="11"/>
      <c r="M33" s="11"/>
      <c r="N33" s="11"/>
      <c r="O33" s="11"/>
      <c r="P33" s="11"/>
      <c r="Q33" s="11"/>
      <c r="R33" s="11"/>
    </row>
    <row r="34" spans="2:18" ht="14.55" customHeight="1" x14ac:dyDescent="0.45">
      <c r="B34" s="69"/>
      <c r="C34" s="70"/>
      <c r="D34" s="154"/>
      <c r="E34" s="31">
        <v>0.01</v>
      </c>
      <c r="F34" s="56"/>
      <c r="G34" s="51" t="str">
        <f t="shared" si="1"/>
        <v>-</v>
      </c>
      <c r="H34" s="46" t="str">
        <f>IF(ISNUMBER(I34), I34, IF(ISNUMBER(G34), IF(ISNUMBER(H33), H33, IF(COUNT(H$7:H33)&gt;0, MIN(H$7:H33), 100)) - G34, "-"))</f>
        <v>-</v>
      </c>
      <c r="I34" s="57"/>
      <c r="J34" s="11"/>
      <c r="K34" s="11"/>
      <c r="L34" s="11"/>
      <c r="M34" s="11"/>
      <c r="N34" s="11"/>
      <c r="O34" s="11"/>
      <c r="P34" s="11"/>
      <c r="Q34" s="11"/>
      <c r="R34" s="11"/>
    </row>
    <row r="35" spans="2:18" ht="14.55" customHeight="1" x14ac:dyDescent="0.45">
      <c r="B35" s="69"/>
      <c r="C35" s="70"/>
      <c r="D35" s="154"/>
      <c r="E35" s="30">
        <v>8.0000000000000002E-3</v>
      </c>
      <c r="F35" s="55"/>
      <c r="G35" s="61" t="str">
        <f t="shared" si="1"/>
        <v>-</v>
      </c>
      <c r="H35" s="45" t="str">
        <f>IF(ISNUMBER(I35), I35, IF(ISNUMBER(G35), IF(ISNUMBER(H34), H34, IF(COUNT(H$7:H34)&gt;0, MIN(H$7:H34), 100)) - G35, "-"))</f>
        <v>-</v>
      </c>
      <c r="I35" s="58"/>
      <c r="J35" s="11"/>
      <c r="K35" s="11"/>
      <c r="L35" s="11"/>
      <c r="M35" s="11"/>
      <c r="N35" s="11"/>
      <c r="O35" s="11"/>
      <c r="P35" s="11"/>
      <c r="Q35" s="11"/>
      <c r="R35" s="11"/>
    </row>
    <row r="36" spans="2:18" ht="14.55" customHeight="1" x14ac:dyDescent="0.45">
      <c r="B36" s="69"/>
      <c r="C36" s="70"/>
      <c r="D36" s="154"/>
      <c r="E36" s="31">
        <v>6.0000000000000001E-3</v>
      </c>
      <c r="F36" s="56"/>
      <c r="G36" s="51" t="str">
        <f t="shared" si="1"/>
        <v>-</v>
      </c>
      <c r="H36" s="46" t="str">
        <f>IF(ISNUMBER(I36), I36, IF(ISNUMBER(G36), IF(ISNUMBER(H35), H35, IF(COUNT(H$7:H35)&gt;0, MIN(H$7:H35), 100)) - G36, "-"))</f>
        <v>-</v>
      </c>
      <c r="I36" s="57"/>
      <c r="J36" s="11"/>
      <c r="K36" s="11"/>
      <c r="L36" s="11"/>
      <c r="M36" s="11"/>
      <c r="N36" s="11"/>
      <c r="O36" s="11"/>
      <c r="P36" s="11"/>
      <c r="Q36" s="11"/>
      <c r="R36" s="11"/>
    </row>
    <row r="37" spans="2:18" ht="14.55" customHeight="1" x14ac:dyDescent="0.45">
      <c r="B37" s="69"/>
      <c r="C37" s="70"/>
      <c r="D37" s="154"/>
      <c r="E37" s="30">
        <v>4.0000000000000001E-3</v>
      </c>
      <c r="F37" s="55"/>
      <c r="G37" s="61" t="str">
        <f t="shared" si="1"/>
        <v>-</v>
      </c>
      <c r="H37" s="45" t="str">
        <f>IF(ISNUMBER(I37), I37, IF(ISNUMBER(G37), IF(ISNUMBER(H36), H36, IF(COUNT(H$7:H36)&gt;0, MIN(H$7:H36), 100)) - G37, "-"))</f>
        <v>-</v>
      </c>
      <c r="I37" s="58"/>
      <c r="J37" s="11"/>
      <c r="K37" s="11"/>
      <c r="L37" s="11"/>
      <c r="M37" s="11"/>
      <c r="N37" s="11"/>
      <c r="O37" s="11"/>
      <c r="P37" s="11"/>
      <c r="Q37" s="11"/>
      <c r="R37" s="11"/>
    </row>
    <row r="38" spans="2:18" ht="14.55" customHeight="1" x14ac:dyDescent="0.45">
      <c r="B38" s="69"/>
      <c r="C38" s="70"/>
      <c r="D38" s="154"/>
      <c r="E38" s="31">
        <v>3.0000000000000001E-3</v>
      </c>
      <c r="F38" s="56"/>
      <c r="G38" s="51" t="str">
        <f t="shared" si="1"/>
        <v>-</v>
      </c>
      <c r="H38" s="46" t="str">
        <f>IF(ISNUMBER(I38), I38, IF(ISNUMBER(G38), IF(ISNUMBER(H37), H37, IF(COUNT(H$7:H37)&gt;0, MIN(H$7:H37), 100)) - G38, "-"))</f>
        <v>-</v>
      </c>
      <c r="I38" s="57"/>
      <c r="J38" s="11"/>
      <c r="K38" s="11"/>
      <c r="L38" s="11"/>
      <c r="M38" s="11"/>
      <c r="N38" s="11"/>
      <c r="O38" s="11"/>
      <c r="P38" s="11"/>
      <c r="Q38" s="11"/>
      <c r="R38" s="11"/>
    </row>
    <row r="39" spans="2:18" ht="7.25" customHeight="1" thickBot="1" x14ac:dyDescent="0.5">
      <c r="B39" s="69"/>
      <c r="C39" s="70"/>
      <c r="D39" s="155"/>
      <c r="E39" s="79">
        <v>2E-3</v>
      </c>
      <c r="F39" s="80"/>
      <c r="G39" s="82" t="str">
        <f t="shared" si="1"/>
        <v>-</v>
      </c>
      <c r="H39" s="84">
        <f>IF(ISNUMBER(I39), I39, IF(ISNUMBER(G39), IF(ISNUMBER(H38), H38, IF(COUNT(H$7:H38)&gt;0, MIN(H$7:H38), 100)) - G39, "-"))</f>
        <v>4</v>
      </c>
      <c r="I39" s="73">
        <v>4</v>
      </c>
      <c r="J39" s="151"/>
      <c r="K39" s="11"/>
      <c r="L39" s="11"/>
      <c r="M39" s="11"/>
      <c r="N39" s="11"/>
      <c r="O39" s="11"/>
      <c r="P39" s="11"/>
      <c r="Q39" s="11"/>
      <c r="R39" s="11"/>
    </row>
    <row r="40" spans="2:18" ht="7.25" customHeight="1" x14ac:dyDescent="0.45">
      <c r="B40" s="69"/>
      <c r="C40" s="70"/>
      <c r="D40" s="156" t="str">
        <f>"Ton " &amp; TEXT(Q3, "0.00") &amp; " %"</f>
        <v>Ton 0.00 %</v>
      </c>
      <c r="E40" s="79"/>
      <c r="F40" s="81"/>
      <c r="G40" s="83"/>
      <c r="H40" s="85"/>
      <c r="I40" s="74"/>
      <c r="J40" s="151"/>
      <c r="K40" s="11"/>
    </row>
    <row r="41" spans="2:18" ht="14.55" customHeight="1" thickBot="1" x14ac:dyDescent="0.5">
      <c r="B41" s="71"/>
      <c r="C41" s="72"/>
      <c r="D41" s="155"/>
      <c r="E41" s="31">
        <v>1E-3</v>
      </c>
      <c r="F41" s="63"/>
      <c r="G41" s="51" t="str">
        <f t="shared" si="1"/>
        <v>-</v>
      </c>
      <c r="H41" s="46" t="str">
        <f>IF(ISNUMBER(I41), I41, IF(ISNUMBER(G41), IF(ISNUMBER(H40), H40, IF(COUNT(H$7:H40)&gt;0, MIN(H$7:H40), 100)) - G41, "-"))</f>
        <v>-</v>
      </c>
      <c r="I41" s="59"/>
      <c r="J41" s="11"/>
      <c r="K41" s="11"/>
    </row>
    <row r="42" spans="2:18" ht="14.55" customHeight="1" thickBot="1" x14ac:dyDescent="0.5">
      <c r="B42" s="5"/>
      <c r="C42" s="5"/>
      <c r="E42" s="157" t="s">
        <v>47</v>
      </c>
      <c r="F42" s="158">
        <v>2356</v>
      </c>
      <c r="G42" s="159">
        <f t="shared" si="1"/>
        <v>19.715481171548117</v>
      </c>
      <c r="H42" s="160">
        <f>IF(ISNUMBER(I42),I42,IF(ISNUMBER(G42),IF(ISNUMBER(H41),H41,IF(COUNT(H$7:H41)&gt;0,MIN(IF(SUM(I26:I41)&gt;0,H$7:H26,H$7:H41)),100))-G42,"-"))</f>
        <v>0.90376569037657362</v>
      </c>
      <c r="J42" s="11"/>
      <c r="K42" s="11"/>
    </row>
    <row r="43" spans="2:18" x14ac:dyDescent="0.45">
      <c r="E43" s="152" t="s">
        <v>3</v>
      </c>
      <c r="F43" s="64">
        <f>SUM(F7:F42)</f>
        <v>11842</v>
      </c>
      <c r="G43" s="65">
        <f>100 - MIN(IF(AND(ISNUMBER(H42), H42&gt;0), H7:H42, H7:H41))</f>
        <v>99.096234309623426</v>
      </c>
      <c r="J43" s="11"/>
      <c r="K43" s="11"/>
    </row>
    <row r="44" spans="2:18" ht="14.65" thickBot="1" x14ac:dyDescent="0.5">
      <c r="E44" s="18" t="s">
        <v>4</v>
      </c>
      <c r="F44" s="19">
        <f>D4-F43</f>
        <v>108</v>
      </c>
      <c r="G44" s="43">
        <f>ABS(100-G43)</f>
        <v>0.90376569037657362</v>
      </c>
      <c r="H44" s="50" t="str">
        <f>IF(G44&lt;1, "&lt; 1 % Brauchbar","&gt; 1 % Unbrauchbar")</f>
        <v>&lt; 1 % Brauchbar</v>
      </c>
      <c r="J44" s="11"/>
      <c r="K44" s="11"/>
    </row>
    <row r="45" spans="2:18" x14ac:dyDescent="0.45">
      <c r="J45" s="11"/>
      <c r="K45" s="11"/>
    </row>
    <row r="46" spans="2:18" ht="14.65" thickBot="1" x14ac:dyDescent="0.5"/>
    <row r="47" spans="2:18" ht="14.65" thickBot="1" x14ac:dyDescent="0.5">
      <c r="C47" s="6"/>
      <c r="D47" s="7" t="s">
        <v>17</v>
      </c>
      <c r="E47" s="7" t="s">
        <v>6</v>
      </c>
      <c r="F47" s="7" t="s">
        <v>7</v>
      </c>
      <c r="G47" s="133" t="s">
        <v>26</v>
      </c>
      <c r="H47" s="133"/>
      <c r="I47" s="133"/>
      <c r="J47" s="133"/>
      <c r="K47" s="133"/>
      <c r="L47" s="134"/>
    </row>
    <row r="48" spans="2:18" x14ac:dyDescent="0.45">
      <c r="D48" s="13" t="s">
        <v>0</v>
      </c>
      <c r="E48" s="32">
        <v>2.4E-2</v>
      </c>
      <c r="F48" s="33">
        <v>10</v>
      </c>
      <c r="G48" s="76" t="s">
        <v>50</v>
      </c>
      <c r="H48" s="77"/>
      <c r="I48" s="77"/>
      <c r="J48" s="77"/>
      <c r="K48" s="77"/>
      <c r="L48" s="78"/>
    </row>
    <row r="49" spans="3:15" x14ac:dyDescent="0.45">
      <c r="D49" s="14" t="s">
        <v>1</v>
      </c>
      <c r="E49" s="34">
        <v>9.7000000000000003E-2</v>
      </c>
      <c r="F49" s="35">
        <v>30</v>
      </c>
      <c r="G49" s="146" t="s">
        <v>48</v>
      </c>
      <c r="H49" s="147"/>
      <c r="I49" s="147"/>
      <c r="J49" s="147"/>
      <c r="K49" s="147"/>
      <c r="L49" s="148"/>
    </row>
    <row r="50" spans="3:15" ht="14.65" thickBot="1" x14ac:dyDescent="0.5">
      <c r="D50" s="15" t="s">
        <v>2</v>
      </c>
      <c r="E50" s="36">
        <v>1.0049999999999999</v>
      </c>
      <c r="F50" s="37">
        <v>60</v>
      </c>
      <c r="G50" s="143" t="s">
        <v>49</v>
      </c>
      <c r="H50" s="144"/>
      <c r="I50" s="144"/>
      <c r="J50" s="144"/>
      <c r="K50" s="144"/>
      <c r="L50" s="145"/>
    </row>
    <row r="52" spans="3:15" ht="14.65" thickBot="1" x14ac:dyDescent="0.5"/>
    <row r="53" spans="3:15" ht="14.65" thickBot="1" x14ac:dyDescent="0.5">
      <c r="C53" s="25"/>
      <c r="D53" s="7" t="s">
        <v>33</v>
      </c>
      <c r="E53" s="133" t="s">
        <v>32</v>
      </c>
      <c r="F53" s="133"/>
      <c r="G53" s="7" t="s">
        <v>31</v>
      </c>
      <c r="H53" s="133" t="s">
        <v>9</v>
      </c>
      <c r="I53" s="133"/>
      <c r="J53" s="133"/>
      <c r="K53" s="133"/>
      <c r="L53" s="134"/>
    </row>
    <row r="54" spans="3:15" ht="19.899999999999999" x14ac:dyDescent="0.7">
      <c r="D54" s="20" t="s">
        <v>19</v>
      </c>
      <c r="E54" s="118" t="s">
        <v>29</v>
      </c>
      <c r="F54" s="119"/>
      <c r="G54" s="38">
        <f>E50/E48</f>
        <v>41.874999999999993</v>
      </c>
      <c r="H54" s="109" t="str">
        <f>IFERROR(ROUND(E50,2) &amp; " ÷ " &amp; ROUND(E48,2) &amp; " = " &amp; ROUND(E50/E48,3), "Fehler: Ungültige Werte")</f>
        <v>1.01 ÷ 0.02 = 41.875</v>
      </c>
      <c r="I54" s="110"/>
      <c r="J54" s="110"/>
      <c r="K54" s="110"/>
      <c r="L54" s="111"/>
    </row>
    <row r="55" spans="3:15" ht="19.899999999999999" x14ac:dyDescent="0.7">
      <c r="D55" s="26" t="s">
        <v>20</v>
      </c>
      <c r="E55" s="129" t="s">
        <v>30</v>
      </c>
      <c r="F55" s="130"/>
      <c r="G55" s="39">
        <f>(E49^2)/(E48*E50)</f>
        <v>0.39009121061359869</v>
      </c>
      <c r="H55" s="112" t="str">
        <f>IFERROR("(" &amp; ROUND(E49,2) &amp; "²) ÷ (" &amp; ROUND(E48,2) &amp; " × " &amp; ROUND(E50,2) &amp; ") = " &amp; ROUND((E49^2)/(E48*E50),3), "Fehler: Ungültige Werte")</f>
        <v>(0.1²) ÷ (0.02 × 1.01) = 0.39</v>
      </c>
      <c r="I55" s="113"/>
      <c r="J55" s="113"/>
      <c r="K55" s="113"/>
      <c r="L55" s="114"/>
    </row>
    <row r="56" spans="3:15" x14ac:dyDescent="0.45">
      <c r="D56" s="27" t="s">
        <v>16</v>
      </c>
      <c r="E56" s="135" t="s">
        <v>34</v>
      </c>
      <c r="F56" s="136"/>
      <c r="G56" s="40">
        <f>IF(AND(ISNUMBER(E4), ISNUMBER(F4), E4&gt;0, F4&gt;0, E4&gt;F4), E4-F4, "-")</f>
        <v>30</v>
      </c>
      <c r="H56" s="137" t="str">
        <f>IF(AND(ISNUMBER(E4), ISNUMBER(F4), E4&gt;0, F4&gt;0, E4&gt;F4), "(" &amp; E4 &amp; " - " &amp; F4 &amp; ") = " &amp; (E4 - F4), "Ungültige WP und WL Werte")</f>
        <v>(45 - 15) = 30</v>
      </c>
      <c r="I56" s="138"/>
      <c r="J56" s="138"/>
      <c r="K56" s="138"/>
      <c r="L56" s="139"/>
    </row>
    <row r="57" spans="3:15" ht="14.65" thickBot="1" x14ac:dyDescent="0.5">
      <c r="D57" s="28" t="s">
        <v>28</v>
      </c>
      <c r="E57" s="131" t="s">
        <v>36</v>
      </c>
      <c r="F57" s="132"/>
      <c r="G57" s="42" t="str" cm="1">
        <f t="array" ref="G57">PunktInPolygon(E4, G56)</f>
        <v>CM,OL</v>
      </c>
      <c r="H57" s="115" t="s">
        <v>35</v>
      </c>
      <c r="I57" s="116"/>
      <c r="J57" s="116"/>
      <c r="K57" s="116"/>
      <c r="L57" s="117"/>
    </row>
    <row r="58" spans="3:15" x14ac:dyDescent="0.45">
      <c r="E58" s="41"/>
      <c r="F58" s="10"/>
    </row>
    <row r="59" spans="3:15" ht="14.65" thickBot="1" x14ac:dyDescent="0.5">
      <c r="E59" s="41"/>
      <c r="F59" s="10"/>
    </row>
    <row r="60" spans="3:15" ht="14.65" thickBot="1" x14ac:dyDescent="0.5">
      <c r="C60" s="106" t="s">
        <v>21</v>
      </c>
      <c r="D60" s="107"/>
      <c r="E60" s="107"/>
      <c r="F60" s="107"/>
      <c r="G60" s="107"/>
      <c r="H60" s="107"/>
      <c r="I60" s="107"/>
      <c r="J60" s="107"/>
      <c r="K60" s="107"/>
      <c r="L60" s="107"/>
      <c r="M60" s="107"/>
      <c r="N60" s="107"/>
      <c r="O60" s="108"/>
    </row>
    <row r="61" spans="3:15" ht="18" customHeight="1" x14ac:dyDescent="0.45">
      <c r="D61" s="120" t="str">
        <f>IF((N3+O3)&gt;50, " - Grobkörniger Boden, da der Anteil von Kies und Sand über 50 % liegt (" &amp; TEXT(N3+O3,"0.00") &amp; "%)", "Feinkörniger Boden, da der Anteil an Kies und Sand unter 50 % liegt (" &amp; TEXT(N3+O3,"0.00") &amp; "%)")</f>
        <v xml:space="preserve"> - Grobkörniger Boden, da der Anteil von Kies und Sand über 50 % liegt (75.58%)</v>
      </c>
      <c r="E61" s="121"/>
      <c r="F61" s="121"/>
      <c r="G61" s="121"/>
      <c r="H61" s="121"/>
      <c r="I61" s="121"/>
      <c r="J61" s="121"/>
      <c r="K61" s="121"/>
      <c r="L61" s="121"/>
      <c r="M61" s="121"/>
      <c r="N61" s="121"/>
      <c r="O61" s="122"/>
    </row>
    <row r="62" spans="3:15" ht="18" customHeight="1" x14ac:dyDescent="0.45">
      <c r="D62" s="123" t="str">
        <f>IF((N3) &gt; (O3), " - Probe enthält mehr Kies als Sand (" &amp; ROUND(N3,2) &amp; "% Kies, " &amp; ROUND(O3,2) &amp; "% Sand)", " - Probe enthält mehr Sand als Kies (" &amp; ROUND(O3,2) &amp; "% Sand, " &amp; ROUND(N3,2) &amp; "% Kies)")</f>
        <v xml:space="preserve"> - Probe enthält mehr Sand als Kies (45.4% Sand, 30.18% Kies)</v>
      </c>
      <c r="E62" s="124"/>
      <c r="F62" s="124"/>
      <c r="G62" s="124"/>
      <c r="H62" s="124"/>
      <c r="I62" s="124"/>
      <c r="J62" s="124"/>
      <c r="K62" s="124"/>
      <c r="L62" s="124"/>
      <c r="M62" s="124"/>
      <c r="N62" s="124"/>
      <c r="O62" s="125"/>
    </row>
    <row r="63" spans="3:15" ht="18" customHeight="1" thickBot="1" x14ac:dyDescent="0.5">
      <c r="D63" s="126" t="str">
        <f>IF(OR(AND(ISNUMBER(SEARCH("CH",G57)), ISNUMBER(SEARCH("OL",G57))), AND(ISNUMBER(SEARCH("CM",G57)), ISNUMBER(SEARCH("OL",G57))), AND(ISNUMBER(SEARCH("CL",G57)), ISNUMBER(SEARCH("OL",G57))), AND(ISNUMBER(SEARCH("CL",G57)), ISNUMBER(SEARCH("ML",G57)))), " - Ton, weil oberhalb der A-Linie", IF(OR(AND(ISNUMBER(SEARCH("ML",G57)), ISNUMBER(SEARCH("OL",G57))), AND(ISNUMBER(SEARCH("MH",G57)), ISNUMBER(SEARCH("OH",G57)))), " - Silt, weil unterhalb der A-Linie", ""))</f>
        <v xml:space="preserve"> - Ton, weil oberhalb der A-Linie</v>
      </c>
      <c r="E63" s="127"/>
      <c r="F63" s="127"/>
      <c r="G63" s="127"/>
      <c r="H63" s="127"/>
      <c r="I63" s="127"/>
      <c r="J63" s="127"/>
      <c r="K63" s="127"/>
      <c r="L63" s="127"/>
      <c r="M63" s="127"/>
      <c r="N63" s="127"/>
      <c r="O63" s="128"/>
    </row>
    <row r="64" spans="3:15" ht="18.600000000000001" customHeight="1" x14ac:dyDescent="0.45">
      <c r="D64" s="94" t="str" cm="1">
        <f t="array" ref="D64">IF((MAX(H9:H26)-MIN(H9:H26))&gt;50,IF((MAX(H9:H19)-MIN(H9:H19))&gt;(MAX(H19:H26)-MIN(H19:H26)),KiesKlasseUndBeschreibung(MAX(H26:H41)-MIN(H26:H41),G54,G55,G57,(MAX(H19:H26)-MIN(H19:H26))),SandKlasseUndBeschreibung(MAX(H26:H41)-MIN(H26:H41),G54,G55,G57,(MAX(H19:H26)-MIN(H19:H26)))),KlassifiziereFein(MAX(H26:H41)-MIN(H26:H41),G54,G55,G57,(MAX(H19:H26)-MIN(H19:H26))))</f>
        <v>SC - toniger Sand mit Kies</v>
      </c>
      <c r="E64" s="95"/>
      <c r="F64" s="95"/>
      <c r="G64" s="95"/>
      <c r="H64" s="95"/>
      <c r="I64" s="95"/>
      <c r="J64" s="95"/>
      <c r="K64" s="95"/>
      <c r="L64" s="95"/>
      <c r="M64" s="95"/>
      <c r="N64" s="95"/>
      <c r="O64" s="96"/>
    </row>
    <row r="65" spans="4:15" ht="15" customHeight="1" x14ac:dyDescent="0.45">
      <c r="D65" s="97"/>
      <c r="E65" s="98"/>
      <c r="F65" s="98"/>
      <c r="G65" s="98"/>
      <c r="H65" s="98"/>
      <c r="I65" s="98"/>
      <c r="J65" s="98"/>
      <c r="K65" s="98"/>
      <c r="L65" s="98"/>
      <c r="M65" s="98"/>
      <c r="N65" s="98"/>
      <c r="O65" s="99"/>
    </row>
    <row r="66" spans="4:15" ht="15" customHeight="1" x14ac:dyDescent="0.45">
      <c r="D66" s="100" t="str" cm="1">
        <f t="array" ref="D66">IF((MAX(H9:H26)-MIN(H9:H26))&gt;50,IF((MAX(H9:H19)-MIN(H9:H$19))&gt;(MAX(H19:H26)-MIN(H19:H26)),BegruendungFuerKiesKlasse(MAX(H26:H41)-MIN(H26:H41),G54,G55,G57,(MAX(H19:H26)-MIN(H19:H26))),BegruendungFuerSandKlasse(MAX(H26:H41)-MIN(H26:H41),G54,G55,G57,(MAX(H19:H26)-MIN(H19:H26)))),KlassifiziereFein(MAX(H26:H41)-MIN(H26:H41),G54,G55,G57,(MAX(H19:H26)-MIN(H19:H26))))</f>
        <v>(Feinanteil &gt; 12%, Bodenklasse enthält CL/CM/CH, Kiesanteil &gt;= 15%)</v>
      </c>
      <c r="E66" s="101"/>
      <c r="F66" s="101"/>
      <c r="G66" s="101"/>
      <c r="H66" s="101"/>
      <c r="I66" s="101"/>
      <c r="J66" s="101"/>
      <c r="K66" s="101"/>
      <c r="L66" s="101"/>
      <c r="M66" s="101"/>
      <c r="N66" s="101"/>
      <c r="O66" s="102"/>
    </row>
    <row r="67" spans="4:15" ht="14.65" thickBot="1" x14ac:dyDescent="0.5">
      <c r="D67" s="103"/>
      <c r="E67" s="104"/>
      <c r="F67" s="104"/>
      <c r="G67" s="104"/>
      <c r="H67" s="104"/>
      <c r="I67" s="104"/>
      <c r="J67" s="104"/>
      <c r="K67" s="104"/>
      <c r="L67" s="104"/>
      <c r="M67" s="104"/>
      <c r="N67" s="104"/>
      <c r="O67" s="105"/>
    </row>
    <row r="72" spans="4:15" ht="14.45" customHeight="1" x14ac:dyDescent="0.45">
      <c r="D72" s="66" t="s">
        <v>43</v>
      </c>
      <c r="E72" s="66"/>
      <c r="F72" s="66"/>
      <c r="G72" s="66"/>
      <c r="H72" s="66"/>
      <c r="I72" s="66"/>
      <c r="J72" s="66"/>
      <c r="K72" s="66"/>
      <c r="L72" s="66"/>
      <c r="M72" s="66"/>
      <c r="N72" s="66"/>
      <c r="O72" s="66"/>
    </row>
    <row r="73" spans="4:15" x14ac:dyDescent="0.45">
      <c r="D73" s="66"/>
      <c r="E73" s="66"/>
      <c r="F73" s="66"/>
      <c r="G73" s="66"/>
      <c r="H73" s="66"/>
      <c r="I73" s="66"/>
      <c r="J73" s="66"/>
      <c r="K73" s="66"/>
      <c r="L73" s="66"/>
      <c r="M73" s="66"/>
      <c r="N73" s="66"/>
      <c r="O73" s="66"/>
    </row>
    <row r="74" spans="4:15" x14ac:dyDescent="0.45">
      <c r="D74" s="66"/>
      <c r="E74" s="66"/>
      <c r="F74" s="66"/>
      <c r="G74" s="66"/>
      <c r="H74" s="66"/>
      <c r="I74" s="66"/>
      <c r="J74" s="66"/>
      <c r="K74" s="66"/>
      <c r="L74" s="66"/>
      <c r="M74" s="66"/>
      <c r="N74" s="66"/>
      <c r="O74" s="66"/>
    </row>
    <row r="75" spans="4:15" x14ac:dyDescent="0.45">
      <c r="D75" s="66"/>
      <c r="E75" s="66"/>
      <c r="F75" s="66"/>
      <c r="G75" s="66"/>
      <c r="H75" s="66"/>
      <c r="I75" s="66"/>
      <c r="J75" s="66"/>
      <c r="K75" s="66"/>
      <c r="L75" s="66"/>
      <c r="M75" s="66"/>
      <c r="N75" s="66"/>
      <c r="O75" s="66"/>
    </row>
    <row r="76" spans="4:15" x14ac:dyDescent="0.45">
      <c r="D76" s="66"/>
      <c r="E76" s="66"/>
      <c r="F76" s="66"/>
      <c r="G76" s="66"/>
      <c r="H76" s="66"/>
      <c r="I76" s="66"/>
      <c r="J76" s="66"/>
      <c r="K76" s="66"/>
      <c r="L76" s="66"/>
      <c r="M76" s="66"/>
      <c r="N76" s="66"/>
      <c r="O76" s="66"/>
    </row>
    <row r="77" spans="4:15" x14ac:dyDescent="0.45">
      <c r="D77" s="66"/>
      <c r="E77" s="66"/>
      <c r="F77" s="66"/>
      <c r="G77" s="66"/>
      <c r="H77" s="66"/>
      <c r="I77" s="66"/>
      <c r="J77" s="66"/>
      <c r="K77" s="66"/>
      <c r="L77" s="66"/>
      <c r="M77" s="66"/>
      <c r="N77" s="66"/>
      <c r="O77" s="66"/>
    </row>
    <row r="78" spans="4:15" x14ac:dyDescent="0.45">
      <c r="D78" s="66"/>
      <c r="E78" s="66"/>
      <c r="F78" s="66"/>
      <c r="G78" s="66"/>
      <c r="H78" s="66"/>
      <c r="I78" s="66"/>
      <c r="J78" s="66"/>
      <c r="K78" s="66"/>
      <c r="L78" s="66"/>
      <c r="M78" s="66"/>
      <c r="N78" s="66"/>
      <c r="O78" s="66"/>
    </row>
    <row r="79" spans="4:15" ht="18" customHeight="1" x14ac:dyDescent="0.45">
      <c r="D79" s="66"/>
      <c r="E79" s="66"/>
      <c r="F79" s="66"/>
      <c r="G79" s="66"/>
      <c r="H79" s="66"/>
      <c r="I79" s="66"/>
      <c r="J79" s="66"/>
      <c r="K79" s="66"/>
      <c r="L79" s="66"/>
      <c r="M79" s="66"/>
      <c r="N79" s="66"/>
      <c r="O79" s="66"/>
    </row>
    <row r="80" spans="4:15" x14ac:dyDescent="0.45">
      <c r="D80" s="66"/>
      <c r="E80" s="66"/>
      <c r="F80" s="66"/>
      <c r="G80" s="66"/>
      <c r="H80" s="66"/>
      <c r="I80" s="66"/>
      <c r="J80" s="66"/>
      <c r="K80" s="66"/>
      <c r="L80" s="66"/>
      <c r="M80" s="66"/>
      <c r="N80" s="66"/>
      <c r="O80" s="66"/>
    </row>
    <row r="81" spans="4:15" x14ac:dyDescent="0.45">
      <c r="D81" s="66"/>
      <c r="E81" s="66"/>
      <c r="F81" s="66"/>
      <c r="G81" s="66"/>
      <c r="H81" s="66"/>
      <c r="I81" s="66"/>
      <c r="J81" s="66"/>
      <c r="K81" s="66"/>
      <c r="L81" s="66"/>
      <c r="M81" s="66"/>
      <c r="N81" s="66"/>
      <c r="O81" s="66"/>
    </row>
    <row r="82" spans="4:15" x14ac:dyDescent="0.45">
      <c r="D82" s="66"/>
      <c r="E82" s="66"/>
      <c r="F82" s="66"/>
      <c r="G82" s="66"/>
      <c r="H82" s="66"/>
      <c r="I82" s="66"/>
      <c r="J82" s="66"/>
      <c r="K82" s="66"/>
      <c r="L82" s="66"/>
      <c r="M82" s="66"/>
      <c r="N82" s="66"/>
      <c r="O82" s="66"/>
    </row>
    <row r="83" spans="4:15" x14ac:dyDescent="0.45">
      <c r="D83" s="66"/>
      <c r="E83" s="66"/>
      <c r="F83" s="66"/>
      <c r="G83" s="66"/>
      <c r="H83" s="66"/>
      <c r="I83" s="66"/>
      <c r="J83" s="66"/>
      <c r="K83" s="66"/>
      <c r="L83" s="66"/>
      <c r="M83" s="66"/>
      <c r="N83" s="66"/>
      <c r="O83" s="66"/>
    </row>
    <row r="84" spans="4:15" x14ac:dyDescent="0.45">
      <c r="D84" s="66"/>
      <c r="E84" s="66"/>
      <c r="F84" s="66"/>
      <c r="G84" s="66"/>
      <c r="H84" s="66"/>
      <c r="I84" s="66"/>
      <c r="J84" s="66"/>
      <c r="K84" s="66"/>
      <c r="L84" s="66"/>
      <c r="M84" s="66"/>
      <c r="N84" s="66"/>
      <c r="O84" s="66"/>
    </row>
    <row r="85" spans="4:15" x14ac:dyDescent="0.45">
      <c r="D85" s="66"/>
      <c r="E85" s="66"/>
      <c r="F85" s="66"/>
      <c r="G85" s="66"/>
      <c r="H85" s="66"/>
      <c r="I85" s="66"/>
      <c r="J85" s="66"/>
      <c r="K85" s="66"/>
      <c r="L85" s="66"/>
      <c r="M85" s="66"/>
      <c r="N85" s="66"/>
      <c r="O85" s="66"/>
    </row>
  </sheetData>
  <sheetProtection selectLockedCells="1"/>
  <mergeCells count="51">
    <mergeCell ref="J9:J10"/>
    <mergeCell ref="E53:F53"/>
    <mergeCell ref="H53:L53"/>
    <mergeCell ref="E56:F56"/>
    <mergeCell ref="H56:L56"/>
    <mergeCell ref="I14:I25"/>
    <mergeCell ref="G47:L47"/>
    <mergeCell ref="G50:L50"/>
    <mergeCell ref="G49:L49"/>
    <mergeCell ref="J26:J27"/>
    <mergeCell ref="J19:J20"/>
    <mergeCell ref="J39:J40"/>
    <mergeCell ref="D64:O65"/>
    <mergeCell ref="D66:O67"/>
    <mergeCell ref="C60:O60"/>
    <mergeCell ref="H54:L54"/>
    <mergeCell ref="H55:L55"/>
    <mergeCell ref="H57:L57"/>
    <mergeCell ref="E54:F54"/>
    <mergeCell ref="D61:O61"/>
    <mergeCell ref="D62:O62"/>
    <mergeCell ref="D63:O63"/>
    <mergeCell ref="E55:F55"/>
    <mergeCell ref="E57:F57"/>
    <mergeCell ref="D20:D26"/>
    <mergeCell ref="E9:E10"/>
    <mergeCell ref="F9:F10"/>
    <mergeCell ref="G9:G10"/>
    <mergeCell ref="H9:H10"/>
    <mergeCell ref="D7:D9"/>
    <mergeCell ref="D10:D19"/>
    <mergeCell ref="F19:F20"/>
    <mergeCell ref="G19:G20"/>
    <mergeCell ref="H19:H20"/>
    <mergeCell ref="E19:E20"/>
    <mergeCell ref="D72:O85"/>
    <mergeCell ref="B27:C41"/>
    <mergeCell ref="I39:I40"/>
    <mergeCell ref="I26:I27"/>
    <mergeCell ref="B10:C26"/>
    <mergeCell ref="G48:L48"/>
    <mergeCell ref="E39:E40"/>
    <mergeCell ref="F39:F40"/>
    <mergeCell ref="G39:G40"/>
    <mergeCell ref="H39:H40"/>
    <mergeCell ref="D40:D41"/>
    <mergeCell ref="D27:D39"/>
    <mergeCell ref="E26:E27"/>
    <mergeCell ref="F26:F27"/>
    <mergeCell ref="G26:G27"/>
    <mergeCell ref="H26:H27"/>
  </mergeCells>
  <conditionalFormatting sqref="G44">
    <cfRule type="cellIs" dxfId="1" priority="1" operator="greaterThan">
      <formula>1</formula>
    </cfRule>
    <cfRule type="cellIs" dxfId="0" priority="2" operator="lessThan">
      <formula>1</formula>
    </cfRule>
  </conditionalFormatting>
  <hyperlinks>
    <hyperlink ref="J1" r:id="rId1" xr:uid="{6DD2174B-D812-486C-A5BA-22548A72C272}"/>
  </hyperlinks>
  <pageMargins left="0.7" right="0.7" top="0.75" bottom="0.75" header="0.3" footer="0.3"/>
  <pageSetup paperSize="9" orientation="portrait" horizontalDpi="300" verticalDpi="300" r:id="rId2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3D95ADE-F2EF-4661-A06E-C110AECC39E0}">
          <x14:formula1>
            <xm:f>Siebgrössen_gefiltert!$E$2:$E$3</xm:f>
          </x14:formula1>
          <xm:sqref>G4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9DDB86-CABB-4E71-8E07-B3DE160F9984}">
  <sheetPr codeName="Tabelle2"/>
  <dimension ref="A1:G35"/>
  <sheetViews>
    <sheetView workbookViewId="0">
      <selection activeCell="C42" sqref="C42"/>
    </sheetView>
  </sheetViews>
  <sheetFormatPr baseColWidth="10" defaultColWidth="11.46484375" defaultRowHeight="14.25" x14ac:dyDescent="0.45"/>
  <cols>
    <col min="7" max="7" width="95.796875" customWidth="1"/>
  </cols>
  <sheetData>
    <row r="1" spans="1:7" x14ac:dyDescent="0.45">
      <c r="A1" s="16"/>
      <c r="B1" s="16"/>
      <c r="E1" s="5" t="s">
        <v>24</v>
      </c>
      <c r="F1" s="5"/>
      <c r="G1" s="5"/>
    </row>
    <row r="2" spans="1:7" x14ac:dyDescent="0.45">
      <c r="A2" s="17"/>
      <c r="B2" s="17"/>
      <c r="D2" s="5"/>
      <c r="E2" s="9" t="s">
        <v>22</v>
      </c>
    </row>
    <row r="3" spans="1:7" x14ac:dyDescent="0.45">
      <c r="A3" s="17"/>
      <c r="B3" s="17"/>
      <c r="D3" s="5"/>
      <c r="E3" s="9" t="s">
        <v>23</v>
      </c>
    </row>
    <row r="4" spans="1:7" x14ac:dyDescent="0.45">
      <c r="A4" s="17"/>
      <c r="B4" s="17"/>
      <c r="D4" s="5"/>
      <c r="E4" s="9"/>
    </row>
    <row r="5" spans="1:7" x14ac:dyDescent="0.45">
      <c r="A5" s="17"/>
      <c r="B5" s="17"/>
    </row>
    <row r="6" spans="1:7" x14ac:dyDescent="0.45">
      <c r="A6" s="17"/>
      <c r="B6" s="17"/>
    </row>
    <row r="7" spans="1:7" x14ac:dyDescent="0.45">
      <c r="A7" s="17"/>
      <c r="B7" s="17"/>
      <c r="D7" s="5"/>
      <c r="F7" s="10"/>
    </row>
    <row r="8" spans="1:7" x14ac:dyDescent="0.45">
      <c r="A8" s="17"/>
      <c r="B8" s="17"/>
      <c r="D8" s="5"/>
      <c r="F8" s="10"/>
    </row>
    <row r="9" spans="1:7" x14ac:dyDescent="0.45">
      <c r="A9" s="17"/>
      <c r="B9" s="17"/>
    </row>
    <row r="10" spans="1:7" x14ac:dyDescent="0.45">
      <c r="A10" s="17"/>
      <c r="B10" s="17"/>
    </row>
    <row r="11" spans="1:7" x14ac:dyDescent="0.45">
      <c r="A11" s="17"/>
      <c r="B11" s="17"/>
    </row>
    <row r="12" spans="1:7" x14ac:dyDescent="0.45">
      <c r="A12" s="17"/>
      <c r="B12" s="17"/>
    </row>
    <row r="13" spans="1:7" x14ac:dyDescent="0.45">
      <c r="A13" s="17"/>
      <c r="B13" s="17"/>
    </row>
    <row r="14" spans="1:7" x14ac:dyDescent="0.45">
      <c r="A14" s="17"/>
      <c r="B14" s="17"/>
    </row>
    <row r="15" spans="1:7" x14ac:dyDescent="0.45">
      <c r="A15" s="17"/>
      <c r="B15" s="17"/>
    </row>
    <row r="16" spans="1:7" x14ac:dyDescent="0.45">
      <c r="A16" s="17"/>
      <c r="B16" s="17"/>
    </row>
    <row r="17" spans="1:2" x14ac:dyDescent="0.45">
      <c r="A17" s="17"/>
      <c r="B17" s="17"/>
    </row>
    <row r="18" spans="1:2" x14ac:dyDescent="0.45">
      <c r="A18" s="17"/>
      <c r="B18" s="17"/>
    </row>
    <row r="19" spans="1:2" x14ac:dyDescent="0.45">
      <c r="A19" s="17"/>
      <c r="B19" s="17"/>
    </row>
    <row r="20" spans="1:2" x14ac:dyDescent="0.45">
      <c r="A20" s="17"/>
      <c r="B20" s="17"/>
    </row>
    <row r="21" spans="1:2" x14ac:dyDescent="0.45">
      <c r="A21" s="17"/>
      <c r="B21" s="17"/>
    </row>
    <row r="22" spans="1:2" x14ac:dyDescent="0.45">
      <c r="A22" s="17"/>
      <c r="B22" s="17"/>
    </row>
    <row r="23" spans="1:2" x14ac:dyDescent="0.45">
      <c r="A23" s="17"/>
      <c r="B23" s="17"/>
    </row>
    <row r="24" spans="1:2" x14ac:dyDescent="0.45">
      <c r="A24" s="17"/>
      <c r="B24" s="17"/>
    </row>
    <row r="25" spans="1:2" x14ac:dyDescent="0.45">
      <c r="A25" s="17"/>
      <c r="B25" s="17"/>
    </row>
    <row r="26" spans="1:2" x14ac:dyDescent="0.45">
      <c r="A26" s="17"/>
      <c r="B26" s="17"/>
    </row>
    <row r="27" spans="1:2" x14ac:dyDescent="0.45">
      <c r="A27" s="17"/>
      <c r="B27" s="17"/>
    </row>
    <row r="28" spans="1:2" x14ac:dyDescent="0.45">
      <c r="A28" s="17"/>
      <c r="B28" s="17"/>
    </row>
    <row r="29" spans="1:2" x14ac:dyDescent="0.45">
      <c r="A29" s="17"/>
      <c r="B29" s="17"/>
    </row>
    <row r="30" spans="1:2" x14ac:dyDescent="0.45">
      <c r="A30" s="17"/>
      <c r="B30" s="17"/>
    </row>
    <row r="31" spans="1:2" x14ac:dyDescent="0.45">
      <c r="A31" s="17"/>
      <c r="B31" s="17"/>
    </row>
    <row r="32" spans="1:2" x14ac:dyDescent="0.45">
      <c r="A32" s="17"/>
      <c r="B32" s="17"/>
    </row>
    <row r="33" spans="1:2" x14ac:dyDescent="0.45">
      <c r="A33" s="17"/>
      <c r="B33" s="17"/>
    </row>
    <row r="34" spans="1:2" x14ac:dyDescent="0.45">
      <c r="A34" s="17"/>
      <c r="B34" s="17"/>
    </row>
    <row r="35" spans="1:2" x14ac:dyDescent="0.45">
      <c r="A35" s="17"/>
      <c r="B35" s="17"/>
    </row>
  </sheetData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Siebkurve</vt:lpstr>
      <vt:lpstr>Siebgrössen_gefiltert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Meile Jeremy</cp:lastModifiedBy>
  <dcterms:created xsi:type="dcterms:W3CDTF">2025-02-18T17:12:21Z</dcterms:created>
  <dcterms:modified xsi:type="dcterms:W3CDTF">2025-02-25T08:40:01Z</dcterms:modified>
</cp:coreProperties>
</file>