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0186B8B8-DA86-41DE-9FD8-BF55687BFA6B}" xr6:coauthVersionLast="47" xr6:coauthVersionMax="47" xr10:uidLastSave="{00000000-0000-0000-0000-000000000000}"/>
  <bookViews>
    <workbookView xWindow="888" yWindow="744" windowWidth="35232" windowHeight="14676" xr2:uid="{00000000-000D-0000-FFFF-FFFF00000000}"/>
  </bookViews>
  <sheets>
    <sheet name="Home" sheetId="4" r:id="rId1"/>
    <sheet name="Tabelle1" sheetId="6" r:id="rId2"/>
    <sheet name="Erdrukarten" sheetId="5" state="hidden" r:id="rId3"/>
    <sheet name="aktiver Erddruckbeiwert" sheetId="1" r:id="rId4"/>
    <sheet name="passiver Erddruckbeiwerte" sheetId="2" r:id="rId5"/>
    <sheet name="Ruhedruckbeiwerte" sheetId="3" r:id="rId6"/>
  </sheets>
  <functionGroups builtInGroupCount="19"/>
  <definedNames>
    <definedName name="_xleta.N" hidden="1" xlm="1">#NAME?</definedName>
    <definedName name="_xleta.TA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6" l="1"/>
  <c r="C28" i="6"/>
  <c r="C23" i="6"/>
  <c r="B13" i="6"/>
  <c r="C13" i="6"/>
  <c r="C10" i="6"/>
  <c r="C29" i="6"/>
  <c r="E10" i="4"/>
  <c r="D10" i="4"/>
  <c r="C26" i="6"/>
  <c r="C25" i="6"/>
  <c r="B26" i="6"/>
  <c r="D19" i="4"/>
  <c r="C4" i="6"/>
  <c r="B3" i="6"/>
  <c r="C2" i="6"/>
  <c r="C1" i="6"/>
  <c r="B1" i="6"/>
  <c r="C5" i="6"/>
  <c r="B4" i="6"/>
  <c r="AE3" i="1"/>
  <c r="P3" i="2" l="1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7" i="4"/>
  <c r="E7" i="4"/>
  <c r="W3" i="1"/>
  <c r="X3" i="1"/>
  <c r="Y3" i="1"/>
  <c r="Z3" i="1"/>
  <c r="AA3" i="1"/>
  <c r="AB3" i="1"/>
  <c r="AC3" i="1"/>
  <c r="AD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8" i="4" a="1"/>
  <c r="D9" i="4" a="1"/>
  <c r="D9" i="4" l="1"/>
  <c r="D21" i="4" s="1"/>
  <c r="D8" i="4"/>
  <c r="D20" i="4" s="1"/>
  <c r="D34" i="4" l="1"/>
  <c r="G34" i="4" s="1"/>
  <c r="D32" i="4"/>
  <c r="G32" i="4" s="1"/>
  <c r="D33" i="4"/>
  <c r="G33" i="4" s="1"/>
  <c r="D29" i="4"/>
  <c r="D30" i="4"/>
  <c r="G30" i="4" s="1"/>
  <c r="D27" i="4"/>
  <c r="G31" i="4"/>
  <c r="D31" i="4"/>
  <c r="G29" i="4"/>
  <c r="D28" i="4"/>
  <c r="D25" i="4"/>
  <c r="G25" i="4" s="1"/>
  <c r="G27" i="4"/>
  <c r="D26" i="4"/>
  <c r="G26" i="4" s="1"/>
  <c r="G28" i="4" l="1"/>
  <c r="D35" i="4"/>
  <c r="G35" i="4" s="1"/>
  <c r="C22" i="6"/>
  <c r="C7" i="6"/>
  <c r="B19" i="6"/>
  <c r="B8" i="6"/>
  <c r="B16" i="6"/>
  <c r="B23" i="6"/>
  <c r="C1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<sst xmlns="http://schemas.openxmlformats.org/spreadsheetml/2006/main" count="210" uniqueCount="133">
  <si>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</si>
  <si>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</si>
  <si>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</si>
  <si>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</si>
  <si>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</si>
  <si>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</si>
  <si>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</si>
  <si>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</si>
  <si>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</si>
  <si>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</si>
  <si>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</si>
  <si>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</si>
  <si>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</si>
  <si>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</si>
  <si>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</si>
  <si>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</si>
  <si>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</si>
  <si>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</si>
  <si>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</si>
  <si>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</si>
  <si>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</si>
  <si>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</si>
  <si>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</si>
  <si>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</si>
  <si>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</si>
  <si>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</si>
  <si>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</si>
  <si>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</si>
  <si>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</si>
  <si>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</si>
  <si>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</si>
  <si>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</si>
  <si>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</si>
  <si>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</si>
  <si>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</si>
  <si>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</si>
  <si>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</si>
  <si>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</si>
  <si>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</si>
  <si>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</si>
  <si>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</si>
  <si>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</si>
  <si>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</si>
  <si>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</si>
  <si>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</si>
  <si>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</si>
  <si>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</si>
  <si>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</si>
  <si>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</si>
  <si>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Bezeichnung</t>
  </si>
  <si>
    <t>Wandhöhe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</si>
  <si>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</si>
  <si>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</si>
  <si>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</si>
  <si>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</si>
  <si>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</si>
  <si>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</si>
  <si>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</si>
  <si>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</si>
  <si>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</si>
  <si>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</si>
  <si>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</si>
  <si>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</si>
  <si>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</si>
  <si>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</si>
  <si>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t>Grundbau Erddruck</t>
  </si>
  <si>
    <t>Eigengewicht</t>
  </si>
  <si>
    <t>Oberlast</t>
  </si>
  <si>
    <t>Kohäsion</t>
  </si>
  <si>
    <t>Dreieck</t>
  </si>
  <si>
    <t>Rechteck</t>
  </si>
  <si>
    <t>Aktiver horizontaler Erddruck</t>
  </si>
  <si>
    <t>Erddruck</t>
  </si>
  <si>
    <t xml:space="preserve">Höhe und Tiefe: </t>
  </si>
  <si>
    <t>stützmauer y</t>
  </si>
  <si>
    <t>stützmauer x</t>
  </si>
  <si>
    <t>neigung hinterfüllung x</t>
  </si>
  <si>
    <t>neigung hinterfüllung y</t>
  </si>
  <si>
    <t>Vertikale Linie x</t>
  </si>
  <si>
    <t>Vertikale Linie y</t>
  </si>
  <si>
    <t>unten strich y</t>
  </si>
  <si>
    <t>unten strich x</t>
  </si>
  <si>
    <t>oben strich y</t>
  </si>
  <si>
    <t>oben strich x</t>
  </si>
  <si>
    <t>γsat​</t>
  </si>
  <si>
    <t>Bodengewicht​ (gesättigt)</t>
  </si>
  <si>
    <t>γ′</t>
  </si>
  <si>
    <t>Bodengewicht (spezifisch)</t>
  </si>
  <si>
    <t>Grundwasserspiegel unter Geländeoberfläche</t>
  </si>
  <si>
    <t>γ (gamma)</t>
  </si>
  <si>
    <t>α</t>
  </si>
  <si>
    <t>β</t>
  </si>
  <si>
    <t>Winkel der inneren Reibung, Reibungswinkel</t>
  </si>
  <si>
    <t>Wandneigung</t>
  </si>
  <si>
    <t>Böschungsneigung bzw. Neigung der Terrainoberfläche</t>
  </si>
  <si>
    <t>Bodengewicht (Effektives)</t>
  </si>
  <si>
    <t>GWS</t>
  </si>
  <si>
    <t>punkt y</t>
  </si>
  <si>
    <t>punkt x</t>
  </si>
  <si>
    <t>Erdruck1 schräge y</t>
  </si>
  <si>
    <t>Erdruck1 schräge x</t>
  </si>
  <si>
    <t>Erdruck2 schräge y</t>
  </si>
  <si>
    <t>Erdruck2 schräge x</t>
  </si>
  <si>
    <t>°</t>
  </si>
  <si>
    <t>bodeny</t>
  </si>
  <si>
    <t>bodenx</t>
  </si>
  <si>
    <t xml:space="preserve">φ </t>
  </si>
  <si>
    <t>eaho</t>
  </si>
  <si>
    <t>eahu</t>
  </si>
  <si>
    <r>
      <t>Horizontaler Aktiver Erddruckbeiwert (Kah)</t>
    </r>
    <r>
      <rPr>
        <i/>
        <sz val="11"/>
        <color theme="1"/>
        <rFont val="Calibri"/>
        <family val="2"/>
        <scheme val="minor"/>
      </rPr>
      <t xml:space="preserve"> (</t>
    </r>
    <r>
      <rPr>
        <i/>
        <sz val="10"/>
        <color theme="1"/>
        <rFont val="Calibri (Textkörper)"/>
      </rPr>
      <t>Tabelle nach Blum)</t>
    </r>
  </si>
  <si>
    <r>
      <t xml:space="preserve">Horizontaler Passiver Erddruckbeiwert (Kph) </t>
    </r>
    <r>
      <rPr>
        <i/>
        <sz val="10"/>
        <color theme="1"/>
        <rFont val="Calibri (Textkörper)"/>
      </rPr>
      <t>(Tabelle nach Blum)</t>
    </r>
  </si>
  <si>
    <t>Einbindetiefe</t>
  </si>
  <si>
    <t>t</t>
  </si>
  <si>
    <t>Kph</t>
  </si>
  <si>
    <t>Eph</t>
  </si>
  <si>
    <t>Eah</t>
  </si>
  <si>
    <t>Sicherheitsbeiwert</t>
  </si>
  <si>
    <t>epho</t>
  </si>
  <si>
    <t>ephu</t>
  </si>
  <si>
    <t>Erddruck aktiver horizontaler (Oben)</t>
  </si>
  <si>
    <t>Erddruck aktiver horizontaler (Unten)</t>
  </si>
  <si>
    <t>Erddruck passiver horizontaler </t>
  </si>
  <si>
    <t>Erddruck passiver horizontaler (Oben)</t>
  </si>
  <si>
    <t>Erddruck passiver horizontaler (Unten)</t>
  </si>
  <si>
    <t>Beiwert aktiver horizontaler (z. B. nach Blum)</t>
  </si>
  <si>
    <t>Beiwert passiver horizontaler (z. B. nach Blum)</t>
  </si>
  <si>
    <t>&gt; 1.35</t>
  </si>
  <si>
    <t>&gt; 1.5m</t>
  </si>
  <si>
    <t>einbindtiefe y</t>
  </si>
  <si>
    <t>einbindtiefe x</t>
  </si>
  <si>
    <t>Kohäsionsnullpunkttiefe</t>
  </si>
  <si>
    <t>passier erdruck schrägey</t>
  </si>
  <si>
    <t>passier erdruck schrägex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</si>
</sst>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0"/>
      <color theme="1"/>
      <name val="Calibri (Textkörper)"/>
    </font>
    <font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9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8" xfId="1" applyFont="1" applyBorder="1" applyAlignment="1" applyProtection="1">
      <alignment horizontal="right" vertical="center"/>
      <protection locked="0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2" fontId="0" fillId="5" borderId="29" xfId="3" applyNumberFormat="1" applyFont="1" applyBorder="1" applyAlignment="1" applyProtection="1">
      <alignment horizontal="right" vertical="center"/>
    </xf>
    <xf numFmtId="0" fontId="1" fillId="4" borderId="15" xfId="0" applyFont="1" applyFill="1" applyBorder="1" applyAlignment="1">
      <alignment horizontal="center"/>
    </xf>
    <xf numFmtId="164" fontId="18" fillId="3" borderId="30" xfId="2" applyNumberFormat="1" applyFont="1" applyBorder="1" applyProtection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165" fontId="0" fillId="0" borderId="0" xfId="0" applyNumberFormat="1"/>
    <xf numFmtId="0" fontId="17" fillId="8" borderId="40" xfId="0" applyFont="1" applyFill="1" applyBorder="1" applyAlignment="1">
      <alignment horizontal="right"/>
    </xf>
    <xf numFmtId="0" fontId="17" fillId="0" borderId="40" xfId="0" applyFont="1" applyBorder="1" applyAlignment="1">
      <alignment horizontal="right"/>
    </xf>
    <xf numFmtId="0" fontId="0" fillId="0" borderId="41" xfId="0" applyBorder="1"/>
    <xf numFmtId="0" fontId="0" fillId="0" borderId="42" xfId="0" applyBorder="1"/>
    <xf numFmtId="165" fontId="0" fillId="0" borderId="21" xfId="0" applyNumberFormat="1" applyBorder="1"/>
    <xf numFmtId="165" fontId="0" fillId="0" borderId="0" xfId="0" applyNumberFormat="1" applyAlignment="1">
      <alignment horizontal="right"/>
    </xf>
    <xf numFmtId="165" fontId="0" fillId="8" borderId="0" xfId="0" applyNumberFormat="1" applyFill="1" applyAlignment="1">
      <alignment horizontal="right"/>
    </xf>
    <xf numFmtId="165" fontId="1" fillId="0" borderId="0" xfId="0" applyNumberFormat="1" applyFont="1" applyAlignment="1">
      <alignment horizontal="right"/>
    </xf>
    <xf numFmtId="165" fontId="1" fillId="8" borderId="0" xfId="0" applyNumberFormat="1" applyFont="1" applyFill="1" applyAlignment="1">
      <alignment horizontal="right"/>
    </xf>
    <xf numFmtId="0" fontId="17" fillId="0" borderId="2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10" borderId="23" xfId="0" applyFont="1" applyFill="1" applyBorder="1" applyAlignment="1">
      <alignment horizontal="right"/>
    </xf>
    <xf numFmtId="0" fontId="1" fillId="10" borderId="15" xfId="0" applyFont="1" applyFill="1" applyBorder="1" applyAlignment="1">
      <alignment horizontal="right"/>
    </xf>
    <xf numFmtId="0" fontId="17" fillId="8" borderId="43" xfId="0" applyFont="1" applyFill="1" applyBorder="1" applyAlignment="1">
      <alignment horizontal="right"/>
    </xf>
    <xf numFmtId="0" fontId="0" fillId="7" borderId="45" xfId="1" applyNumberFormat="1" applyFont="1" applyFill="1" applyBorder="1" applyAlignment="1" applyProtection="1">
      <alignment horizontal="right" vertical="center"/>
      <protection locked="0"/>
    </xf>
    <xf numFmtId="0" fontId="0" fillId="2" borderId="46" xfId="1" applyFont="1" applyBorder="1" applyAlignment="1" applyProtection="1">
      <alignment horizontal="right" vertical="center"/>
      <protection locked="0"/>
    </xf>
    <xf numFmtId="0" fontId="0" fillId="7" borderId="46" xfId="1" applyNumberFormat="1" applyFont="1" applyFill="1" applyBorder="1" applyAlignment="1" applyProtection="1">
      <alignment horizontal="right" vertical="center"/>
      <protection locked="0"/>
    </xf>
    <xf numFmtId="0" fontId="0" fillId="8" borderId="44" xfId="0" applyFill="1" applyBorder="1"/>
    <xf numFmtId="165" fontId="1" fillId="11" borderId="0" xfId="0" applyNumberFormat="1" applyFont="1" applyFill="1" applyAlignment="1">
      <alignment horizontal="right"/>
    </xf>
    <xf numFmtId="165" fontId="0" fillId="11" borderId="0" xfId="0" applyNumberFormat="1" applyFill="1" applyAlignment="1">
      <alignment horizontal="right"/>
    </xf>
    <xf numFmtId="0" fontId="19" fillId="9" borderId="34" xfId="3" applyFont="1" applyFill="1" applyBorder="1" applyAlignment="1" applyProtection="1">
      <alignment horizontal="left" vertical="center"/>
    </xf>
    <xf numFmtId="0" fontId="19" fillId="9" borderId="35" xfId="3" applyFont="1" applyFill="1" applyBorder="1" applyAlignment="1" applyProtection="1">
      <alignment horizontal="left" vertical="center"/>
    </xf>
    <xf numFmtId="0" fontId="19" fillId="9" borderId="36" xfId="3" applyFont="1" applyFill="1" applyBorder="1" applyAlignment="1" applyProtection="1">
      <alignment horizontal="left" vertical="center"/>
    </xf>
    <xf numFmtId="0" fontId="19" fillId="5" borderId="34" xfId="3" applyFont="1" applyBorder="1" applyAlignment="1" applyProtection="1">
      <alignment horizontal="left" vertical="center"/>
    </xf>
    <xf numFmtId="0" fontId="19" fillId="5" borderId="35" xfId="3" applyFont="1" applyBorder="1" applyAlignment="1" applyProtection="1">
      <alignment horizontal="left" vertical="center"/>
    </xf>
    <xf numFmtId="0" fontId="19" fillId="5" borderId="36" xfId="3" applyFont="1" applyBorder="1" applyAlignment="1" applyProtection="1">
      <alignment horizontal="left" vertical="center"/>
    </xf>
    <xf numFmtId="0" fontId="19" fillId="5" borderId="15" xfId="3" applyFont="1" applyBorder="1" applyAlignment="1" applyProtection="1">
      <alignment horizontal="left" vertical="center"/>
    </xf>
    <xf numFmtId="0" fontId="19" fillId="5" borderId="16" xfId="3" applyFont="1" applyBorder="1" applyAlignment="1" applyProtection="1">
      <alignment horizontal="left" vertical="center"/>
    </xf>
    <xf numFmtId="0" fontId="19" fillId="5" borderId="17" xfId="3" applyFont="1" applyBorder="1" applyAlignment="1" applyProtection="1">
      <alignment horizontal="left" vertical="center"/>
    </xf>
    <xf numFmtId="0" fontId="1" fillId="10" borderId="18" xfId="0" applyFont="1" applyFill="1" applyBorder="1" applyAlignment="1">
      <alignment horizontal="left" wrapText="1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0" fontId="19" fillId="5" borderId="31" xfId="3" applyFont="1" applyBorder="1" applyAlignment="1" applyProtection="1">
      <alignment horizontal="left" vertical="center"/>
    </xf>
    <xf numFmtId="0" fontId="19" fillId="5" borderId="32" xfId="3" applyFont="1" applyBorder="1" applyAlignment="1" applyProtection="1">
      <alignment horizontal="left" vertical="center"/>
    </xf>
    <xf numFmtId="0" fontId="19" fillId="5" borderId="33" xfId="3" applyFont="1" applyBorder="1" applyAlignment="1" applyProtection="1">
      <alignment horizontal="left" vertic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9" fillId="5" borderId="37" xfId="3" applyFont="1" applyBorder="1" applyAlignment="1" applyProtection="1">
      <alignment horizontal="left" vertical="center"/>
    </xf>
    <xf numFmtId="0" fontId="19" fillId="5" borderId="38" xfId="3" applyFont="1" applyBorder="1" applyAlignment="1" applyProtection="1">
      <alignment horizontal="left" vertical="center"/>
    </xf>
    <xf numFmtId="0" fontId="19" fillId="5" borderId="39" xfId="3" applyFont="1" applyBorder="1" applyAlignment="1" applyProtection="1">
      <alignment horizontal="left" vertical="center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8" fillId="3" borderId="27" xfId="2" applyFont="1" applyBorder="1" applyAlignment="1" applyProtection="1">
      <alignment horizontal="right"/>
    </xf>
    <xf numFmtId="0" fontId="0" fillId="0" borderId="0" xfId="0" quotePrefix="1"/>
    <xf numFmtId="0" fontId="0" fillId="8" borderId="12" xfId="0" applyFill="1" applyBorder="1" applyAlignment="1">
      <alignment horizontal="right"/>
    </xf>
    <xf numFmtId="0" fontId="1" fillId="8" borderId="12" xfId="0" applyFont="1" applyFill="1" applyBorder="1"/>
    <xf numFmtId="165" fontId="1" fillId="8" borderId="0" xfId="0" applyNumberFormat="1" applyFont="1" applyFill="1" applyAlignment="1">
      <alignment horizontal="left"/>
    </xf>
    <xf numFmtId="0" fontId="0" fillId="0" borderId="0" xfId="0" applyAlignment="1">
      <alignment horizontal="right"/>
    </xf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13"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baseline="0"/>
              <a:t>Querkraft mit Nullpunkt Kohäsion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CH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Vertikale Linie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Tabelle1!$B$11:$C$11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Tabelle1!$B$10:$C$10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09-4EC1-8D7C-5719DA73D90F}"/>
            </c:ext>
          </c:extLst>
        </c:ser>
        <c:ser>
          <c:idx val="3"/>
          <c:order val="1"/>
          <c:tx>
            <c:v>unten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Tabelle1!$B$14:$C$14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37.299999999999997</c:v>
                </c:pt>
              </c:numCache>
            </c:numRef>
          </c:xVal>
          <c:yVal>
            <c:numRef>
              <c:f>Tabelle1!$B$13:$C$13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73-45FD-9EC8-32E34446642B}"/>
            </c:ext>
          </c:extLst>
        </c:ser>
        <c:ser>
          <c:idx val="4"/>
          <c:order val="2"/>
          <c:tx>
            <c:v>oben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Tabelle1!$B$16:$C$16</c:f>
              <c:numCache>
                <c:formatCode>General</c:formatCode>
                <c:ptCount val="2"/>
                <c:pt idx="0" formatCode="#,##0.00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Tabelle1!$B$17:$C$17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73-45FD-9EC8-32E34446642B}"/>
            </c:ext>
          </c:extLst>
        </c:ser>
        <c:ser>
          <c:idx val="5"/>
          <c:order val="3"/>
          <c:tx>
            <c:v>eah unten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Tabelle1!$B$22:$B$23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37.299999999999997</c:v>
                </c:pt>
              </c:numCache>
            </c:numRef>
          </c:xVal>
          <c:yVal>
            <c:numRef>
              <c:f>Tabelle1!$C$22:$C$23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D64B-921D-E6608E906C19}"/>
            </c:ext>
          </c:extLst>
        </c:ser>
        <c:ser>
          <c:idx val="6"/>
          <c:order val="4"/>
          <c:tx>
            <c:v>eah oben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Tabelle1!$B$7:$B$8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Tabelle1!$C$7:$C$8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3-D64B-921D-E6608E906C19}"/>
            </c:ext>
          </c:extLst>
        </c:ser>
        <c:ser>
          <c:idx val="2"/>
          <c:order val="5"/>
          <c:tx>
            <c:v>eaH z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Tabelle1!$B$19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3-45FD-9EC8-32E34446642B}"/>
            </c:ext>
          </c:extLst>
        </c:ser>
        <c:ser>
          <c:idx val="0"/>
          <c:order val="6"/>
          <c:tx>
            <c:v>hinterfüllung steigung</c:v>
          </c:tx>
          <c:spPr>
            <a:ln w="19050" cap="rnd">
              <a:solidFill>
                <a:schemeClr val="accent6">
                  <a:lumMod val="50000"/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3-D64B-921D-E6608E906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kN/m²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Schnitt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Höhe und Tiefe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Tabelle1!$B$1:$C$1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Tabelle1!$B$1:$C$1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0-4318-B1E6-66D32540ED0D}"/>
            </c:ext>
          </c:extLst>
        </c:ser>
        <c:ser>
          <c:idx val="0"/>
          <c:order val="1"/>
          <c:tx>
            <c:v>stützmauer</c:v>
          </c:tx>
          <c:spPr>
            <a:ln w="63500" cap="flat" cmpd="sng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63500" cap="flat" cmpd="sng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199-6B42-B441-AEF7A15E0673}"/>
              </c:ext>
            </c:extLst>
          </c:dPt>
          <c:xVal>
            <c:numRef>
              <c:f>Tabelle1!$B$2:$C$2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Tabelle1!$B$3:$C$3</c:f>
              <c:numCache>
                <c:formatCode>General</c:formatCode>
                <c:ptCount val="2"/>
                <c:pt idx="0">
                  <c:v>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60-4318-B1E6-66D32540ED0D}"/>
            </c:ext>
          </c:extLst>
        </c:ser>
        <c:ser>
          <c:idx val="2"/>
          <c:order val="2"/>
          <c:tx>
            <c:v>neigung hinterfüllung</c:v>
          </c:tx>
          <c:spPr>
            <a:ln w="25400" cap="rnd" cmpd="sng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60-4318-B1E6-66D32540ED0D}"/>
            </c:ext>
          </c:extLst>
        </c:ser>
        <c:ser>
          <c:idx val="3"/>
          <c:order val="3"/>
          <c:tx>
            <c:v>Terrain</c:v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Tabelle1!$B$25:$B$26</c:f>
              <c:numCache>
                <c:formatCode>General</c:formatCode>
                <c:ptCount val="2"/>
                <c:pt idx="0">
                  <c:v>-2</c:v>
                </c:pt>
                <c:pt idx="1">
                  <c:v>5</c:v>
                </c:pt>
              </c:numCache>
            </c:numRef>
          </c:xVal>
          <c:yVal>
            <c:numRef>
              <c:f>Tabelle1!$C$25:$C$27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F-4049-970F-EBD086BFBC2C}"/>
            </c:ext>
          </c:extLst>
        </c:ser>
        <c:ser>
          <c:idx val="4"/>
          <c:order val="4"/>
          <c:tx>
            <c:v>Einbindtiefe</c:v>
          </c:tx>
          <c:spPr>
            <a:ln w="63500" cap="flat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Tabelle1!$B$28:$B$29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Tabelle1!$C$28:$C$29</c:f>
              <c:numCache>
                <c:formatCode>General</c:formatCode>
                <c:ptCount val="2"/>
                <c:pt idx="0">
                  <c:v>5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99-6B42-B441-AEF7A15E0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Tiefe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1496738</xdr:colOff>
      <xdr:row>36</xdr:row>
      <xdr:rowOff>71718</xdr:rowOff>
    </xdr:from>
    <xdr:to>
      <xdr:col>6</xdr:col>
      <xdr:colOff>845820</xdr:colOff>
      <xdr:row>60</xdr:row>
      <xdr:rowOff>118758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CCEB31-32FD-E178-F76D-8E0634F33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62081</xdr:colOff>
      <xdr:row>36</xdr:row>
      <xdr:rowOff>87636</xdr:rowOff>
    </xdr:from>
    <xdr:to>
      <xdr:col>3</xdr:col>
      <xdr:colOff>853602</xdr:colOff>
      <xdr:row>60</xdr:row>
      <xdr:rowOff>134676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CFB0E727-A0F1-4EB4-A838-BB90C0AE42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12" dataDxfId="11">
  <autoFilter ref="A7:C10" xr:uid="{707E511B-74A4-F541-9F33-03BA4AF4979A}"/>
  <tableColumns count="3">
    <tableColumn id="1" xr3:uid="{7477F713-430B-9E4B-9400-C343B7AFA31B}" name="Beschreibung" dataDxfId="10"/>
    <tableColumn id="2" xr3:uid="{7B48791E-28B8-A242-9E4D-EA858C9957E5}" name="δ in Bezug auf φ" dataDxfId="9"/>
    <tableColumn id="3" xr3:uid="{3ACBA7E2-23D9-0D43-A8A4-6130C1A6E15E}" name="Beispiel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62"/>
  <sheetViews>
    <sheetView showGridLines="0" tabSelected="1" topLeftCell="A30" zoomScaleNormal="100" workbookViewId="0">
      <selection activeCell="I21" sqref="I21"/>
    </sheetView>
  </sheetViews>
  <sheetFormatPr baseColWidth="10" defaultColWidth="11.44140625" defaultRowHeight="14.4"/>
  <cols>
    <col min="1" max="1" width="8" customWidth="1"/>
    <col min="2" max="2" width="1.77734375" customWidth="1"/>
    <col min="3" max="3" width="57.6640625" customWidth="1"/>
    <col min="4" max="4" width="28.33203125" customWidth="1"/>
    <col min="5" max="5" width="15" customWidth="1"/>
    <col min="6" max="6" width="19.33203125" customWidth="1"/>
    <col min="7" max="7" width="14.44140625" customWidth="1"/>
    <col min="14" max="14" width="85.109375" customWidth="1"/>
    <col min="16" max="16" width="19.109375" customWidth="1"/>
  </cols>
  <sheetData>
    <row r="1" spans="1:19" ht="18.600000000000001" thickBot="1">
      <c r="A1" s="25" t="s">
        <v>65</v>
      </c>
      <c r="B1" s="26"/>
      <c r="C1" s="26"/>
      <c r="D1" s="26"/>
      <c r="E1" s="27"/>
      <c r="F1" s="27"/>
      <c r="G1" s="28"/>
      <c r="H1" s="27"/>
      <c r="I1" s="27"/>
      <c r="J1" s="29" t="s">
        <v>40</v>
      </c>
      <c r="K1" s="30"/>
      <c r="L1" s="14"/>
      <c r="M1" s="14" t="s">
        <v>41</v>
      </c>
      <c r="N1" s="14" t="s">
        <v>42</v>
      </c>
      <c r="O1" s="14" t="s">
        <v>43</v>
      </c>
      <c r="P1" s="14" t="s">
        <v>44</v>
      </c>
      <c r="Q1" s="14" t="s">
        <v>45</v>
      </c>
      <c r="R1" s="14" t="s">
        <v>46</v>
      </c>
      <c r="S1" s="14" t="s">
        <v>47</v>
      </c>
    </row>
    <row r="2" spans="1:19" ht="15" thickBot="1"/>
    <row r="3" spans="1:19" ht="15" thickBot="1">
      <c r="B3" s="22"/>
      <c r="C3" s="23" t="s">
        <v>21</v>
      </c>
      <c r="D3" s="23" t="s">
        <v>58</v>
      </c>
      <c r="E3" s="23" t="s">
        <v>57</v>
      </c>
      <c r="F3" s="24" t="s">
        <v>49</v>
      </c>
    </row>
    <row r="4" spans="1:19">
      <c r="C4" s="17" t="s">
        <v>92</v>
      </c>
      <c r="D4" s="20">
        <v>25</v>
      </c>
      <c r="E4" s="41" t="s">
        <v>103</v>
      </c>
      <c r="F4" s="41" t="s">
        <v>106</v>
      </c>
    </row>
    <row r="5" spans="1:19">
      <c r="C5" s="17" t="s">
        <v>93</v>
      </c>
      <c r="D5" s="21">
        <v>0</v>
      </c>
      <c r="E5" s="6" t="s">
        <v>103</v>
      </c>
      <c r="F5" s="6" t="s">
        <v>90</v>
      </c>
    </row>
    <row r="6" spans="1:19">
      <c r="C6" s="17" t="s">
        <v>94</v>
      </c>
      <c r="D6" s="20">
        <v>0</v>
      </c>
      <c r="E6" s="41" t="s">
        <v>103</v>
      </c>
      <c r="F6" s="41" t="s">
        <v>91</v>
      </c>
    </row>
    <row r="7" spans="1:19" ht="16.2" thickBot="1">
      <c r="C7" s="35" t="s">
        <v>39</v>
      </c>
      <c r="D7" s="31" t="s">
        <v>28</v>
      </c>
      <c r="E7" s="18" t="str">
        <f>VLOOKUP(D7,Tabelle1[],2,FALSE)</f>
        <v>1/3 φ</v>
      </c>
      <c r="F7" s="36" t="str">
        <f>VLOOKUP(D7,Tabelle1[],3,FALSE)</f>
        <v>z.B. Stahlwand</v>
      </c>
    </row>
    <row r="8" spans="1:19" ht="16.2" thickBot="1">
      <c r="C8" s="54" t="s">
        <v>109</v>
      </c>
      <c r="D8" s="89" cm="1">
        <f t="array" ref="D8" xml:space="preserve"> GetKaValue(D5, D6, D4, E7)</f>
        <v>0.373</v>
      </c>
    </row>
    <row r="9" spans="1:19" ht="16.2" thickBot="1">
      <c r="C9" s="54" t="s">
        <v>110</v>
      </c>
      <c r="D9" s="89" cm="1">
        <f t="array" ref="D9" xml:space="preserve"> GetKpValue(D5, D6, D4, E7)</f>
        <v>3.0910000000000002</v>
      </c>
    </row>
    <row r="10" spans="1:19" ht="16.2" thickBot="1">
      <c r="C10" s="55" t="s">
        <v>48</v>
      </c>
      <c r="D10" s="38">
        <f>1 - SIN(RADIANS(D4))</f>
        <v>0.5773817382593005</v>
      </c>
      <c r="E10" s="69" t="str">
        <f>"= 1 − sin(" &amp;D4&amp; "°) = 1 − " &amp; TEXT(SIN(RADIANS(D4)),"0.000") &amp; " = " &amp; TEXT(1-SIN(RADIANS(D4)),"0.000")</f>
        <v>= 1 − sin(25°) = 1 − 0.423 = 0.577</v>
      </c>
      <c r="F10" s="70"/>
      <c r="G10" s="71"/>
    </row>
    <row r="11" spans="1:19">
      <c r="C11" s="53"/>
    </row>
    <row r="12" spans="1:19" ht="15" thickBot="1"/>
    <row r="13" spans="1:19" ht="15" thickBot="1">
      <c r="B13" s="72" t="s">
        <v>72</v>
      </c>
      <c r="C13" s="73" t="s">
        <v>48</v>
      </c>
      <c r="D13" s="73"/>
      <c r="E13" s="73"/>
      <c r="F13" s="74"/>
    </row>
    <row r="14" spans="1:19" ht="15" thickBot="1">
      <c r="B14" s="37"/>
      <c r="C14" s="23" t="s">
        <v>21</v>
      </c>
      <c r="D14" s="23" t="s">
        <v>58</v>
      </c>
      <c r="E14" s="23" t="s">
        <v>49</v>
      </c>
      <c r="F14" s="23" t="s">
        <v>57</v>
      </c>
      <c r="G14" s="78" t="s">
        <v>60</v>
      </c>
      <c r="H14" s="78"/>
      <c r="I14" s="78"/>
      <c r="J14" s="78"/>
      <c r="K14" s="78"/>
      <c r="L14" s="78"/>
      <c r="M14" s="78"/>
      <c r="N14" s="79"/>
    </row>
    <row r="15" spans="1:19">
      <c r="C15" s="56" t="s">
        <v>50</v>
      </c>
      <c r="D15" s="57">
        <v>5</v>
      </c>
      <c r="E15" s="60" t="s">
        <v>52</v>
      </c>
      <c r="F15" s="41" t="s">
        <v>61</v>
      </c>
      <c r="G15" s="32"/>
      <c r="H15" s="32"/>
      <c r="I15" s="32"/>
      <c r="J15" s="32"/>
      <c r="K15" s="32"/>
      <c r="L15" s="32"/>
      <c r="M15" s="32"/>
      <c r="N15" s="33"/>
    </row>
    <row r="16" spans="1:19">
      <c r="C16" s="44" t="s">
        <v>88</v>
      </c>
      <c r="D16" s="58"/>
      <c r="E16" s="39" t="s">
        <v>96</v>
      </c>
      <c r="F16" s="6" t="s">
        <v>61</v>
      </c>
      <c r="N16" s="34"/>
    </row>
    <row r="17" spans="3:18">
      <c r="C17" s="43" t="s">
        <v>87</v>
      </c>
      <c r="D17" s="59">
        <v>20</v>
      </c>
      <c r="E17" s="40" t="s">
        <v>89</v>
      </c>
      <c r="F17" s="41" t="s">
        <v>62</v>
      </c>
      <c r="N17" s="34"/>
    </row>
    <row r="18" spans="3:18">
      <c r="C18" s="44" t="s">
        <v>85</v>
      </c>
      <c r="D18" s="58"/>
      <c r="E18" s="39" t="s">
        <v>84</v>
      </c>
      <c r="F18" s="6" t="s">
        <v>62</v>
      </c>
      <c r="N18" s="34"/>
    </row>
    <row r="19" spans="3:18">
      <c r="C19" s="43" t="s">
        <v>95</v>
      </c>
      <c r="D19" s="49" t="str">
        <f>IF(ISNUMBER(D18), D18 - 10, "-")</f>
        <v>-</v>
      </c>
      <c r="E19" s="40" t="s">
        <v>86</v>
      </c>
      <c r="F19" s="41" t="s">
        <v>62</v>
      </c>
      <c r="N19" s="34"/>
    </row>
    <row r="20" spans="3:18">
      <c r="C20" s="44" t="s">
        <v>124</v>
      </c>
      <c r="D20" s="48">
        <f>D8</f>
        <v>0.373</v>
      </c>
      <c r="E20" s="39" t="s">
        <v>51</v>
      </c>
      <c r="F20" s="6" t="s">
        <v>59</v>
      </c>
      <c r="N20" s="34"/>
    </row>
    <row r="21" spans="3:18">
      <c r="C21" s="43" t="s">
        <v>125</v>
      </c>
      <c r="D21" s="91">
        <f>D9</f>
        <v>3.0910000000000002</v>
      </c>
      <c r="E21" s="40" t="s">
        <v>113</v>
      </c>
      <c r="F21" s="41" t="s">
        <v>59</v>
      </c>
      <c r="N21" s="34"/>
    </row>
    <row r="22" spans="3:18">
      <c r="C22" s="44" t="s">
        <v>53</v>
      </c>
      <c r="D22" s="59"/>
      <c r="E22" s="39" t="s">
        <v>54</v>
      </c>
      <c r="F22" s="6" t="s">
        <v>63</v>
      </c>
      <c r="N22" s="34"/>
    </row>
    <row r="23" spans="3:18">
      <c r="C23" s="43" t="s">
        <v>55</v>
      </c>
      <c r="D23" s="58"/>
      <c r="E23" s="40" t="s">
        <v>56</v>
      </c>
      <c r="F23" s="41" t="s">
        <v>63</v>
      </c>
      <c r="N23" s="34"/>
    </row>
    <row r="24" spans="3:18">
      <c r="C24" s="44" t="s">
        <v>111</v>
      </c>
      <c r="D24" s="59">
        <v>2</v>
      </c>
      <c r="E24" s="39" t="s">
        <v>112</v>
      </c>
      <c r="F24" s="6" t="s">
        <v>61</v>
      </c>
      <c r="N24" s="34"/>
    </row>
    <row r="25" spans="3:18">
      <c r="C25" s="43" t="s">
        <v>66</v>
      </c>
      <c r="D25" s="49">
        <f>IF(OR(D15="",D17="",D20=""),"-",IF(OR(D16="",D16=0),0.5*D15^2*D17*D20,0.5*D16^2*D17*D20+0.5*(D15-D16)^2*D19*D20+D16*(D15-D16)*D19*D20))</f>
        <v>93.25</v>
      </c>
      <c r="E25" s="40" t="s">
        <v>69</v>
      </c>
      <c r="F25" s="41" t="s">
        <v>64</v>
      </c>
      <c r="G25" s="75" t="str">
        <f>IF(OR(D15="",D17="",D20=""),"-",IF(OR(D16="",D16=0),"0.5 · " &amp; D15 &amp; "² m² · " &amp; D17 &amp; " kN/m³ · " &amp; D20 &amp; " = " &amp; TEXT(D25,"0.00") &amp; " kN/m","0.5 · " &amp; D16 &amp; "² m² · " &amp; D17 &amp; " kN/m³ · " &amp; D20 &amp; " + 0.5 · (" &amp; D15 &amp; "−" &amp; D16 &amp; ")² m² · " &amp; D19 &amp; " kN/m³ · " &amp; D20 &amp; " + " &amp; D16 &amp; " m · (" &amp; D15 &amp; "−" &amp; D16 &amp; ") m · " &amp; D19 &amp; " kN/m³ · " &amp; D20 &amp; " = " &amp; TEXT(D25,"0.00") &amp; " kN/m"))</f>
        <v>0.5 · 5² m² · 20 kN/m³ · 0.373 = 93.25 kN/m</v>
      </c>
      <c r="H25" s="76"/>
      <c r="I25" s="76"/>
      <c r="J25" s="76"/>
      <c r="K25" s="76"/>
      <c r="L25" s="76"/>
      <c r="M25" s="76"/>
      <c r="N25" s="77"/>
    </row>
    <row r="26" spans="3:18">
      <c r="C26" s="44" t="s">
        <v>67</v>
      </c>
      <c r="D26" s="50" t="str">
        <f>IF(OR(D15="",D22="",D20=""),"-",D22*D15*D20)</f>
        <v>-</v>
      </c>
      <c r="E26" s="39" t="s">
        <v>70</v>
      </c>
      <c r="F26" s="6" t="s">
        <v>64</v>
      </c>
      <c r="G26" s="63" t="str">
        <f>IF(OR(D15="",D22="",D20=""),"-",D22 &amp; " kN/m² · " &amp; D15 &amp; " m · " &amp; D20 &amp; " = " &amp; TEXT(D26,"0.00") &amp; " kN/m")</f>
        <v>-</v>
      </c>
      <c r="H26" s="64"/>
      <c r="I26" s="64"/>
      <c r="J26" s="64"/>
      <c r="K26" s="64"/>
      <c r="L26" s="64"/>
      <c r="M26" s="64"/>
      <c r="N26" s="65"/>
      <c r="Q26" s="42"/>
      <c r="R26" s="42"/>
    </row>
    <row r="27" spans="3:18">
      <c r="C27" s="43" t="s">
        <v>68</v>
      </c>
      <c r="D27" s="49" t="str">
        <f>IF(OR(D15="",D23="",D20="",D23=0),"-",2*D23*D15*SQRT(D20))</f>
        <v>-</v>
      </c>
      <c r="E27" s="40"/>
      <c r="F27" s="41" t="s">
        <v>64</v>
      </c>
      <c r="G27" s="80" t="str">
        <f>IF(OR(D15="",D23="",D20="",D23=0),"-","2 · " &amp; D23 &amp; " kN/m² · " &amp; D15 &amp; " m · √" &amp; D20 &amp; " = " &amp; TEXT(D27,"0.00") &amp; " kN/m")</f>
        <v>-</v>
      </c>
      <c r="H27" s="81"/>
      <c r="I27" s="81"/>
      <c r="J27" s="81"/>
      <c r="K27" s="81"/>
      <c r="L27" s="81"/>
      <c r="M27" s="81"/>
      <c r="N27" s="82"/>
    </row>
    <row r="28" spans="3:18">
      <c r="C28" s="44" t="s">
        <v>71</v>
      </c>
      <c r="D28" s="50">
        <f>IF(OR(D15="",D17="",D20=""),"-",IF(OR(D16="",D16=0),0.5*D15^2*D17*D20 + IF(ISNUMBER(D22),D22*D15*D20,0) - IF(ISNUMBER(D23),2*D23*D15*SQRT(D20),0),0.5*D16^2*D17*D20 + 0.5*(D15-D16)^2*D19*D20 + D16*(D15-D16)*D19*D20 + IF(ISNUMBER(D22),D22*D15*D20,0) - IF(ISNUMBER(D23),2*D23*D15*SQRT(D20),0) + 10*(D15-D16)))</f>
        <v>93.25</v>
      </c>
      <c r="E28" s="39" t="s">
        <v>115</v>
      </c>
      <c r="F28" s="6" t="s">
        <v>64</v>
      </c>
      <c r="G28" s="63" t="str">
        <f>IF(OR(D15="",D17="",D20=""),"-",IF(OR(D16="",D16=0),"½ · " &amp; D15 &amp; "² m² · " &amp; D17 &amp; " kN/m³ · " &amp; D20 &amp; IF(ISNUMBER(D22)," + " &amp; D22 &amp; " kN/m² · " &amp; D15 &amp; " m · " &amp; D20,"") &amp; IF(ISNUMBER(D23)," − 2 · " &amp; D23 &amp; " kN/m² · " &amp; D15 &amp; " m · √" &amp; D20,"") &amp; " = " &amp; TEXT(D28,"0.00") &amp; " kN/m","½ · " &amp; D16 &amp; "² m² · " &amp; D17 &amp; " kN/m³ · " &amp; D20 &amp; " + ½ · (" &amp; D15 &amp; "−" &amp; D16 &amp; ")² m² · " &amp; D19 &amp; " kN/m³ · " &amp; D20 &amp; " + " &amp; D16 &amp; " m · (" &amp; D15 &amp; "−" &amp; D16 &amp; ") m · " &amp; D19 &amp; " kN/m³ · " &amp; D20 &amp; IF(ISNUMBER(D22)," + " &amp; D22 &amp; " kN/m² · " &amp; D15 &amp; " m · " &amp; D20,"") &amp; IF(ISNUMBER(D23)," − 2 · " &amp; D23 &amp; " kN/m² · " &amp; D15 &amp; " m · √" &amp; D20,"") &amp; " + 10 kN/m³ · (" &amp; D15 &amp; "−" &amp; D16 &amp; ") = " &amp; TEXT(D28,"0.00") &amp; " kN/m"))</f>
        <v>½ · 5² m² · 20 kN/m³ · 0.373 = 93.25 kN/m</v>
      </c>
      <c r="H28" s="64"/>
      <c r="I28" s="64"/>
      <c r="J28" s="64"/>
      <c r="K28" s="64"/>
      <c r="L28" s="64"/>
      <c r="M28" s="64"/>
      <c r="N28" s="65"/>
    </row>
    <row r="29" spans="3:18">
      <c r="C29" s="43" t="s">
        <v>119</v>
      </c>
      <c r="D29" s="49">
        <f>IF(OR(D20=""),"-",IF(ISNUMBER(D22),D22*D20,0) - IF(ISNUMBER(D23),2*D23*SQRT(D20),0))</f>
        <v>0</v>
      </c>
      <c r="E29" s="40" t="s">
        <v>107</v>
      </c>
      <c r="F29" s="41" t="s">
        <v>63</v>
      </c>
      <c r="G29" s="66" t="str">
        <f>IF(AND(NOT(ISNUMBER(D22)),NOT(ISNUMBER(D23))),"-",IF(ISNUMBER(D22),D22 &amp; " kN/m² · " &amp; D20,"") &amp; IF(ISNUMBER(D23)," − 2 · " &amp; D23 &amp; " kN/m² · √" &amp; D20,"") &amp; " = " &amp; TEXT(D29,"0.00") &amp; " kN/m²")</f>
        <v>-</v>
      </c>
      <c r="H29" s="67"/>
      <c r="I29" s="67"/>
      <c r="J29" s="67"/>
      <c r="K29" s="67"/>
      <c r="L29" s="67"/>
      <c r="M29" s="67"/>
      <c r="N29" s="68"/>
    </row>
    <row r="30" spans="3:18">
      <c r="C30" s="44" t="s">
        <v>120</v>
      </c>
      <c r="D30" s="48">
        <f>IF(OR(D16="",ISERROR(D16)),D17*D15*D20 + IF(ISNUMBER(D22),D22*D20,0) - IF(ISNUMBER(D23),2*D23*SQRT(D20),0),D19*D15*D20 + IF(ISNUMBER(D22),D22*D20,0) - IF(ISNUMBER(D23),2*D23*SQRT(D20),0) + 10*(D15-D16))</f>
        <v>37.299999999999997</v>
      </c>
      <c r="E30" s="39" t="s">
        <v>108</v>
      </c>
      <c r="F30" s="6" t="s">
        <v>63</v>
      </c>
      <c r="G30" s="63" t="str">
        <f>IF(OR(D15="",D20=""),"-",IF(OR(D16="",ISERROR(D16)),D17 &amp; " kN/m³ · " &amp; D15 &amp; " m · " &amp; D20 &amp; IF(ISNUMBER(D22)," + " &amp; D22 &amp; " kN/m² · " &amp; D20,"") &amp; IF(ISNUMBER(D23)," − 2 · " &amp; D23 &amp; " kN/m² · √" &amp; D20,"") &amp; " = " &amp; TEXT(D30,"0.00") &amp; " kN/m²",D19 &amp; " kN/m³ · " &amp; D15 &amp; " m · " &amp; D20 &amp; IF(ISNUMBER(D22)," + " &amp; D22 &amp; " kN/m² · " &amp; D20,"") &amp; IF(ISNUMBER(D23)," − 2 · " &amp; D23 &amp; " kN/m² · √" &amp; D20,"") &amp; " + 10 kN/m³ · (" &amp; D15 &amp; " − " &amp; D16 &amp; ") = " &amp; TEXT(D30,"0.00") &amp; " kN/m²"))</f>
        <v>20 kN/m³ · 5 m · 0.373 = 37.30 kN/m²</v>
      </c>
      <c r="H30" s="64"/>
      <c r="I30" s="64"/>
      <c r="J30" s="64"/>
      <c r="K30" s="64"/>
      <c r="L30" s="64"/>
      <c r="M30" s="64"/>
      <c r="N30" s="65"/>
    </row>
    <row r="31" spans="3:18">
      <c r="C31" s="94" t="s">
        <v>130</v>
      </c>
      <c r="D31" s="51" t="str">
        <f>IF(OR(D20=0,D17=0,NOT(ISNUMBER(D23))),"-",IF(D16="",(2*D23*SQRT(D20)-D22*D20)/(D17*D20),(2*D23*SQRT(D20)-D22*D20)/(IF((2*D23*SQRT(D20)-D22*D20)/D20&lt;=D16,D17,D19)*D20)))</f>
        <v>-</v>
      </c>
      <c r="E31" s="92" t="s">
        <v>127</v>
      </c>
      <c r="F31" s="41" t="s">
        <v>61</v>
      </c>
      <c r="G31" s="66" t="str">
        <f>IF(OR(D20=0,D17=0,NOT(ISNUMBER(D23))),"-",IF(D16="","(2 · " &amp; D23 &amp; " kN/m² · √" &amp; D20 &amp; " − " &amp; D22 &amp; " kN/m² · " &amp; D20 &amp; ") ÷ (" &amp; D17 &amp; " kN/m³ · " &amp; D20 &amp; ") = " &amp; TEXT((2*D23*SQRT(D20)-D22*D20)/(D17*D20),"0.00") &amp; " m","(2 · " &amp; D23 &amp; " kN/m² · √" &amp; D20 &amp; " − " &amp; D22 &amp; " kN/m² · " &amp; D20 &amp; ") ÷ (" &amp; IF((2*D23*SQRT(D20)-D22*D20)/D20&lt;=D16,D17,D19) &amp; " kN/m³ · " &amp; D20 &amp; ") = " &amp; TEXT((2*D23*SQRT(D20)-D22*D20)/(IF((2*D23*SQRT(D20)-D22*D20)/D20&lt;=D16,D17,D19)*D20),"0.00") &amp; " m"))</f>
        <v>-</v>
      </c>
      <c r="H31" s="67"/>
      <c r="I31" s="67"/>
      <c r="J31" s="67"/>
      <c r="K31" s="67"/>
      <c r="L31" s="67"/>
      <c r="M31" s="67"/>
      <c r="N31" s="68"/>
    </row>
    <row r="32" spans="3:18">
      <c r="C32" s="44" t="s">
        <v>121</v>
      </c>
      <c r="D32" s="61">
        <f>IF(OR(NOT(ISNUMBER(D24)),NOT(ISNUMBER(D21))),"-",IF(OR(D16="",D16=0),0.5*D24^2*D17*D21 + IF(ISNUMBER(D22),D22*D24*D21,0) - IF(ISNUMBER(D23),2*D23*D24*SQRT(D21),0),0.5*D16^2*D17*D21 + 0.5*(D24-D16)^2*IF(ISNUMBER(D19),D19,D17)*D21 + D16*(D24-D16)*IF(ISNUMBER(D19),D19,D17)*D21 + IF(ISNUMBER(D22),D22*D24*D21,0) - IF(ISNUMBER(D23),2*D23*D24*SQRT(D21),0) + 10*(D24-D16)))</f>
        <v>123.64000000000001</v>
      </c>
      <c r="E32" s="39" t="s">
        <v>114</v>
      </c>
      <c r="F32" s="6" t="s">
        <v>64</v>
      </c>
      <c r="G32" s="63" t="str">
        <f>IF(OR(NOT(ISNUMBER(D24)),NOT(ISNUMBER(D21))),"-",IF(OR(D16="",D16=0),"½ · " &amp; D24 &amp; "² m² · " &amp; D17 &amp; " kN/m³ · " &amp; D21 &amp; IF(ISNUMBER(D22)," + " &amp; D22 &amp; " kN/m² · " &amp; D24 &amp; " m · " &amp; D21,"") &amp; IF(ISNUMBER(D23)," − 2 · " &amp; D23 &amp; " kN/m² · " &amp; D24 &amp; " m · √" &amp; D21,"") &amp; " = " &amp; TEXT(D32,"0.00") &amp; " kN/m","½ · " &amp; D16 &amp; "² m² · " &amp; D17 &amp; " kN/m³ · " &amp; D21 &amp; " + ½ · (" &amp; D24 &amp; "−" &amp; D16 &amp; ")² m² · " &amp; IF(ISNUMBER(D19),D19,D17) &amp; " kN/m³ · " &amp; D21 &amp; " + " &amp; D16 &amp; " m · (" &amp; D24 &amp; "−" &amp; D16 &amp; ") m · " &amp; IF(ISNUMBER(D19),D19,D17) &amp; " kN/m³ · " &amp; D21 &amp; IF(ISNUMBER(D22)," + " &amp; D22 &amp; " kN/m² · " &amp; D24 &amp; " m · " &amp; D21,"") &amp; IF(ISNUMBER(D23)," − 2 · " &amp; D23 &amp; " kN/m² · " &amp; D24 &amp; " m · √" &amp; D21,"") &amp; " + 10 kN/m³ · (" &amp; D24 &amp; "−" &amp; D16 &amp; ") = " &amp; TEXT(D32,"0.00") &amp; " kN/m"))</f>
        <v>½ · 2² m² · 20 kN/m³ · 3.091 = 123.64 kN/m</v>
      </c>
      <c r="H32" s="64"/>
      <c r="I32" s="64"/>
      <c r="J32" s="64"/>
      <c r="K32" s="64"/>
      <c r="L32" s="64"/>
      <c r="M32" s="64"/>
      <c r="N32" s="65"/>
    </row>
    <row r="33" spans="3:18">
      <c r="C33" s="43" t="s">
        <v>122</v>
      </c>
      <c r="D33" s="49">
        <f>IF(OR(NOT(ISNUMBER(D21)),NOT(ISNUMBER(D17))),"-",IF(ISNUMBER(D22),D22*D21,0) - IF(ISNUMBER(D23),2*D23*SQRT(D21),0))</f>
        <v>0</v>
      </c>
      <c r="E33" s="40" t="s">
        <v>117</v>
      </c>
      <c r="F33" s="41" t="s">
        <v>63</v>
      </c>
      <c r="G33" s="66" t="str">
        <f>IF(OR(NOT(ISNUMBER(D21)),NOT(ISNUMBER(D17)),(IF(ISNUMBER(D22),D22*D21,0) - IF(ISNUMBER(D23),2*D23*SQRT(D21),0))=0),"-",IF(ISNUMBER(D22),D22&amp;" kN/m² · "&amp;D21,"")&amp;IF(ISNUMBER(D23)," − 2 · "&amp;D23&amp;" kN/m² · √"&amp;D21,"")&amp;" = "&amp;TEXT(D33,"0.00")&amp;" kN/m²")</f>
        <v>-</v>
      </c>
      <c r="H33" s="67"/>
      <c r="I33" s="67"/>
      <c r="J33" s="67"/>
      <c r="K33" s="67"/>
      <c r="L33" s="67"/>
      <c r="M33" s="67"/>
      <c r="N33" s="68"/>
    </row>
    <row r="34" spans="3:18">
      <c r="C34" s="44" t="s">
        <v>123</v>
      </c>
      <c r="D34" s="62">
        <f>IF(OR(NOT(ISNUMBER(D21)),NOT(ISNUMBER(D17)),NOT(ISNUMBER(D24))),"-",IF(OR(D16="",D16=0),D17*D24*D21 + IF(ISNUMBER(D22),D22*D21,0) - IF(ISNUMBER(D23),2*D23*SQRT(D21),0),IF(ISNUMBER(D19),D19,D17)*D24*D21 + IF(ISNUMBER(D22),D22*D21,0) - IF(ISNUMBER(D23),2*D23*SQRT(D21),0) + 10*(D24-D16)))</f>
        <v>123.64000000000001</v>
      </c>
      <c r="E34" s="39" t="s">
        <v>118</v>
      </c>
      <c r="F34" s="6" t="s">
        <v>63</v>
      </c>
      <c r="G34" s="63" t="str">
        <f>IF(OR(NOT(ISNUMBER(D21)),NOT(ISNUMBER(D17)),NOT(ISNUMBER(D24))),"-",IF(OR(D16="",D16=0),D17&amp;" kN/m³ · "&amp;D24&amp;" m · "&amp;D21&amp;IF(ISNUMBER(D22)," + "&amp;D22&amp;" kN/m² · "&amp;D21,"")&amp;IF(ISNUMBER(D23)," − 2 · "&amp;D23&amp;" kN/m² · √"&amp;D21,"")&amp;" = "&amp;TEXT(D34,"0.00")&amp;" kN/m²",IF(ISNUMBER(D19),D19,D17)&amp;" kN/m³ · "&amp;D24&amp;" m · "&amp;D21&amp;IF(ISNUMBER(D22)," + "&amp;D22&amp;" kN/m² · "&amp;D21,"")&amp;IF(ISNUMBER(D23)," − 2 · "&amp;D23&amp;" kN/m² · √"&amp;D21,"")&amp;" + 10 kN/m³ · ("&amp;D24&amp;"−"&amp;D16&amp;") = "&amp;TEXT(D34,"0.00")&amp;" kN/m²"))</f>
        <v>20 kN/m³ · 2 m · 3.091 = 123.64 kN/m²</v>
      </c>
      <c r="H34" s="64"/>
      <c r="I34" s="64"/>
      <c r="J34" s="64"/>
      <c r="K34" s="64"/>
      <c r="L34" s="64"/>
      <c r="M34" s="64"/>
      <c r="N34" s="65"/>
    </row>
    <row r="35" spans="3:18">
      <c r="C35" s="52" t="s">
        <v>116</v>
      </c>
      <c r="D35" s="51">
        <f>IF(AND(ISNUMBER(D32),ISNUMBER(D28)),D32/D28,"-")</f>
        <v>1.3258981233243969</v>
      </c>
      <c r="E35" s="93" t="s">
        <v>126</v>
      </c>
      <c r="F35" s="41" t="s">
        <v>59</v>
      </c>
      <c r="G35" s="66" t="str">
        <f>IF(AND(ISNUMBER(D32),ISNUMBER(D28)),TEXT(D32,"0.00") &amp; " kN/m ÷ " &amp; TEXT(D28,"0.00") &amp; " kN/m = " &amp; TEXT(D35,"0.00"),"-")</f>
        <v>123.64 kN/m ÷ 93.25 kN/m = 1.33</v>
      </c>
      <c r="H35" s="67"/>
      <c r="I35" s="67"/>
      <c r="J35" s="67"/>
      <c r="K35" s="67"/>
      <c r="L35" s="67"/>
      <c r="M35" s="67"/>
      <c r="N35" s="68"/>
    </row>
    <row r="36" spans="3:18" ht="15" thickBot="1">
      <c r="C36" s="52"/>
      <c r="D36" s="62"/>
    </row>
    <row r="37" spans="3:18">
      <c r="C37" s="16"/>
      <c r="D37" s="32"/>
      <c r="E37" s="32"/>
      <c r="F37" s="32"/>
      <c r="G37" s="32"/>
      <c r="H37" s="32"/>
      <c r="I37" s="33"/>
      <c r="L37" s="90"/>
      <c r="R37" s="42"/>
    </row>
    <row r="38" spans="3:18">
      <c r="C38" s="17"/>
      <c r="I38" s="34"/>
      <c r="L38" s="90"/>
    </row>
    <row r="39" spans="3:18">
      <c r="C39" s="47"/>
      <c r="D39" s="42"/>
      <c r="I39" s="34"/>
      <c r="L39" s="90"/>
      <c r="Q39" s="42"/>
    </row>
    <row r="40" spans="3:18">
      <c r="C40" s="47"/>
      <c r="I40" s="34"/>
      <c r="L40" s="90"/>
    </row>
    <row r="41" spans="3:18">
      <c r="C41" s="17"/>
      <c r="D41" s="42"/>
      <c r="I41" s="34"/>
      <c r="L41" s="90"/>
    </row>
    <row r="42" spans="3:18">
      <c r="C42" s="17"/>
      <c r="I42" s="34"/>
      <c r="L42" s="90"/>
    </row>
    <row r="43" spans="3:18">
      <c r="C43" s="17"/>
      <c r="I43" s="34"/>
      <c r="L43" s="90"/>
    </row>
    <row r="44" spans="3:18">
      <c r="C44" s="17"/>
      <c r="E44" s="42"/>
      <c r="I44" s="34"/>
      <c r="L44" s="90"/>
    </row>
    <row r="45" spans="3:18">
      <c r="C45" s="17"/>
      <c r="I45" s="34"/>
      <c r="L45" s="90"/>
    </row>
    <row r="46" spans="3:18">
      <c r="C46" s="17"/>
      <c r="I46" s="34"/>
      <c r="L46" s="90"/>
    </row>
    <row r="47" spans="3:18">
      <c r="C47" s="17"/>
      <c r="I47" s="34"/>
      <c r="L47" s="90"/>
    </row>
    <row r="48" spans="3:18">
      <c r="C48" s="17"/>
      <c r="I48" s="34"/>
      <c r="L48" s="90"/>
    </row>
    <row r="49" spans="3:12">
      <c r="C49" s="17"/>
      <c r="I49" s="34"/>
      <c r="L49" s="90"/>
    </row>
    <row r="50" spans="3:12">
      <c r="C50" s="17"/>
      <c r="I50" s="34"/>
      <c r="L50" s="90"/>
    </row>
    <row r="51" spans="3:12">
      <c r="C51" s="17"/>
      <c r="I51" s="34"/>
      <c r="L51" s="90"/>
    </row>
    <row r="52" spans="3:12">
      <c r="C52" s="17"/>
      <c r="I52" s="34"/>
      <c r="L52" s="90"/>
    </row>
    <row r="53" spans="3:12">
      <c r="C53" s="17"/>
      <c r="I53" s="34"/>
      <c r="L53" s="90"/>
    </row>
    <row r="54" spans="3:12">
      <c r="C54" s="17"/>
      <c r="I54" s="34"/>
      <c r="L54" s="90"/>
    </row>
    <row r="55" spans="3:12">
      <c r="C55" s="17"/>
      <c r="I55" s="34"/>
      <c r="L55" s="90"/>
    </row>
    <row r="56" spans="3:12">
      <c r="C56" s="17"/>
      <c r="I56" s="34"/>
      <c r="L56" s="90"/>
    </row>
    <row r="57" spans="3:12">
      <c r="C57" s="17"/>
      <c r="I57" s="34"/>
      <c r="L57" s="90"/>
    </row>
    <row r="58" spans="3:12">
      <c r="C58" s="17"/>
      <c r="I58" s="34"/>
    </row>
    <row r="59" spans="3:12">
      <c r="C59" s="17"/>
      <c r="I59" s="34"/>
    </row>
    <row r="60" spans="3:12">
      <c r="C60" s="17"/>
      <c r="I60" s="34"/>
    </row>
    <row r="61" spans="3:12">
      <c r="C61" s="17"/>
      <c r="I61" s="34"/>
    </row>
    <row r="62" spans="3:12" ht="15" thickBot="1">
      <c r="C62" s="35"/>
      <c r="D62" s="45"/>
      <c r="E62" s="45"/>
      <c r="F62" s="45"/>
      <c r="G62" s="45"/>
      <c r="H62" s="45"/>
      <c r="I62" s="46"/>
    </row>
  </sheetData>
  <sheetProtection selectLockedCells="1"/>
  <mergeCells count="14">
    <mergeCell ref="G35:N35"/>
    <mergeCell ref="G32:N32"/>
    <mergeCell ref="G33:N33"/>
    <mergeCell ref="G34:N34"/>
    <mergeCell ref="G31:N31"/>
    <mergeCell ref="E10:G10"/>
    <mergeCell ref="B13:F13"/>
    <mergeCell ref="G29:N29"/>
    <mergeCell ref="G30:N30"/>
    <mergeCell ref="G25:N25"/>
    <mergeCell ref="G14:N14"/>
    <mergeCell ref="G28:N28"/>
    <mergeCell ref="G27:N27"/>
    <mergeCell ref="G26:N26"/>
  </mergeCells>
  <phoneticPr fontId="2" type="noConversion"/>
  <conditionalFormatting sqref="D31">
    <cfRule type="cellIs" dxfId="7" priority="3" operator="lessThan">
      <formula>1.5</formula>
    </cfRule>
    <cfRule type="cellIs" dxfId="6" priority="4" operator="greaterThanOrEqual">
      <formula>1.5</formula>
    </cfRule>
  </conditionalFormatting>
  <conditionalFormatting sqref="D35">
    <cfRule type="cellIs" dxfId="1" priority="1" stopIfTrue="1" operator="lessThan">
      <formula>1.35</formula>
    </cfRule>
    <cfRule type="cellIs" dxfId="0" priority="2" stopIfTrue="1" operator="greaterThanOrEqual">
      <formula>1.35</formula>
    </cfRule>
  </conditionalFormatting>
  <hyperlinks>
    <hyperlink ref="J1" r:id="rId1" xr:uid="{DBCD52DC-6ABE-584D-AAAA-8646C3868235}"/>
  </hyperlinks>
  <pageMargins left="0.7" right="0.7" top="0.78740157499999996" bottom="0.78740157499999996" header="0.3" footer="0.3"/>
  <pageSetup paperSize="9" orientation="portrait" r:id="rId2"/>
  <ignoredErrors>
    <ignoredError sqref="D20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5506BEE-D135-434F-8C70-4B39D17B75DD}">
          <x14:formula1>
            <xm:f>Erdrukarten!$A$8:$A$10</xm:f>
          </x14:formula1>
          <xm:sqref>D7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D4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D5:D6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29D2-DE4B-46B9-8F9D-C119C2BD9D64}">
  <sheetPr codeName="Tabelle6"/>
  <dimension ref="A1:C33"/>
  <sheetViews>
    <sheetView topLeftCell="A7" workbookViewId="0">
      <selection activeCell="C32" sqref="C32"/>
    </sheetView>
  </sheetViews>
  <sheetFormatPr baseColWidth="10" defaultRowHeight="14.4"/>
  <cols>
    <col min="1" max="1" width="21.77734375" customWidth="1"/>
  </cols>
  <sheetData>
    <row r="1" spans="1:3">
      <c r="A1" t="s">
        <v>73</v>
      </c>
      <c r="B1">
        <f>Home!D15</f>
        <v>5</v>
      </c>
      <c r="C1">
        <f>Home!D15</f>
        <v>5</v>
      </c>
    </row>
    <row r="2" spans="1:3">
      <c r="A2" t="s">
        <v>75</v>
      </c>
      <c r="B2">
        <v>0</v>
      </c>
      <c r="C2">
        <f>Home!D15*TAN(RADIANS(Home!D5))</f>
        <v>0</v>
      </c>
    </row>
    <row r="3" spans="1:3">
      <c r="A3" t="s">
        <v>74</v>
      </c>
      <c r="B3">
        <f>Home!D15</f>
        <v>5</v>
      </c>
      <c r="C3">
        <v>0</v>
      </c>
    </row>
    <row r="4" spans="1:3">
      <c r="A4" t="s">
        <v>76</v>
      </c>
      <c r="B4">
        <f>Home!$D$15*TAN(RADIANS(Home!$D$5))</f>
        <v>0</v>
      </c>
      <c r="C4">
        <f>Home!D15</f>
        <v>5</v>
      </c>
    </row>
    <row r="5" spans="1:3">
      <c r="A5" t="s">
        <v>77</v>
      </c>
      <c r="B5">
        <v>0</v>
      </c>
      <c r="C5">
        <f>-(Home!$D$15*TAN(RADIANS(Home!$D$6)))</f>
        <v>0</v>
      </c>
    </row>
    <row r="7" spans="1:3">
      <c r="A7" t="s">
        <v>99</v>
      </c>
      <c r="B7">
        <v>0</v>
      </c>
      <c r="C7" t="str">
        <f>Home!D31</f>
        <v>-</v>
      </c>
    </row>
    <row r="8" spans="1:3">
      <c r="A8" t="s">
        <v>100</v>
      </c>
      <c r="B8" s="42">
        <f>Home!D29</f>
        <v>0</v>
      </c>
      <c r="C8" s="42">
        <v>0</v>
      </c>
    </row>
    <row r="10" spans="1:3">
      <c r="A10" t="s">
        <v>79</v>
      </c>
      <c r="B10">
        <v>0</v>
      </c>
      <c r="C10">
        <f>Home!D15+Home!D24</f>
        <v>7</v>
      </c>
    </row>
    <row r="11" spans="1:3">
      <c r="A11" t="s">
        <v>78</v>
      </c>
      <c r="B11">
        <v>0</v>
      </c>
      <c r="C11">
        <v>0</v>
      </c>
    </row>
    <row r="13" spans="1:3">
      <c r="A13" t="s">
        <v>80</v>
      </c>
      <c r="B13">
        <f>Home!D15+Home!D24</f>
        <v>7</v>
      </c>
      <c r="C13">
        <f>Home!D15+Home!D24</f>
        <v>7</v>
      </c>
    </row>
    <row r="14" spans="1:3">
      <c r="A14" t="s">
        <v>81</v>
      </c>
      <c r="B14">
        <v>0</v>
      </c>
      <c r="C14" s="42">
        <f>Home!D30</f>
        <v>37.299999999999997</v>
      </c>
    </row>
    <row r="16" spans="1:3">
      <c r="A16" t="s">
        <v>82</v>
      </c>
      <c r="B16" s="42">
        <f>Home!D29</f>
        <v>0</v>
      </c>
      <c r="C16">
        <v>0</v>
      </c>
    </row>
    <row r="17" spans="1:3">
      <c r="A17" t="s">
        <v>83</v>
      </c>
      <c r="B17">
        <v>0</v>
      </c>
      <c r="C17">
        <v>0</v>
      </c>
    </row>
    <row r="19" spans="1:3">
      <c r="A19" t="s">
        <v>97</v>
      </c>
      <c r="B19" t="str">
        <f>Home!D31</f>
        <v>-</v>
      </c>
      <c r="C19">
        <v>0</v>
      </c>
    </row>
    <row r="20" spans="1:3">
      <c r="A20" t="s">
        <v>98</v>
      </c>
      <c r="B20">
        <v>0</v>
      </c>
      <c r="C20">
        <v>0</v>
      </c>
    </row>
    <row r="22" spans="1:3">
      <c r="A22" t="s">
        <v>101</v>
      </c>
      <c r="B22">
        <v>0</v>
      </c>
      <c r="C22" t="str">
        <f>Home!D31</f>
        <v>-</v>
      </c>
    </row>
    <row r="23" spans="1:3">
      <c r="A23" t="s">
        <v>102</v>
      </c>
      <c r="B23" s="42">
        <f>Home!D30</f>
        <v>37.299999999999997</v>
      </c>
      <c r="C23" s="42">
        <f>Home!D15+Home!D24</f>
        <v>7</v>
      </c>
    </row>
    <row r="25" spans="1:3">
      <c r="A25" t="s">
        <v>104</v>
      </c>
      <c r="B25">
        <v>-2</v>
      </c>
      <c r="C25">
        <f>Home!D15</f>
        <v>5</v>
      </c>
    </row>
    <row r="26" spans="1:3">
      <c r="A26" t="s">
        <v>105</v>
      </c>
      <c r="B26">
        <f>Home!D15</f>
        <v>5</v>
      </c>
      <c r="C26">
        <f>Home!D15</f>
        <v>5</v>
      </c>
    </row>
    <row r="28" spans="1:3">
      <c r="A28" t="s">
        <v>128</v>
      </c>
      <c r="B28">
        <v>0</v>
      </c>
      <c r="C28">
        <f>Home!D15</f>
        <v>5</v>
      </c>
    </row>
    <row r="29" spans="1:3">
      <c r="A29" t="s">
        <v>129</v>
      </c>
      <c r="B29">
        <v>0</v>
      </c>
      <c r="C29">
        <f>Home!D15+Home!D24</f>
        <v>7</v>
      </c>
    </row>
    <row r="32" spans="1:3">
      <c r="A32" t="s">
        <v>131</v>
      </c>
      <c r="B32">
        <f>Home!D15</f>
        <v>5</v>
      </c>
    </row>
    <row r="33" spans="1:1">
      <c r="A33" t="s">
        <v>132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ColWidth="11.44140625" defaultRowHeight="14.4"/>
  <cols>
    <col min="1" max="1" width="25.109375" bestFit="1" customWidth="1"/>
    <col min="2" max="2" width="18.44140625" customWidth="1"/>
    <col min="3" max="3" width="23.33203125" bestFit="1" customWidth="1"/>
  </cols>
  <sheetData>
    <row r="1" spans="1:3">
      <c r="A1" t="s">
        <v>18</v>
      </c>
    </row>
    <row r="2" spans="1:3">
      <c r="A2" t="s">
        <v>19</v>
      </c>
    </row>
    <row r="3" spans="1:3">
      <c r="A3" t="s">
        <v>20</v>
      </c>
    </row>
    <row r="7" spans="1:3">
      <c r="A7" s="13" t="s">
        <v>21</v>
      </c>
      <c r="B7" s="13" t="s">
        <v>22</v>
      </c>
      <c r="C7" s="13" t="s">
        <v>23</v>
      </c>
    </row>
    <row r="8" spans="1:3">
      <c r="A8" s="15" t="s">
        <v>24</v>
      </c>
      <c r="B8" s="15" t="s">
        <v>36</v>
      </c>
      <c r="C8" s="15" t="s">
        <v>25</v>
      </c>
    </row>
    <row r="9" spans="1:3">
      <c r="A9" s="15" t="s">
        <v>26</v>
      </c>
      <c r="B9" s="15" t="s">
        <v>38</v>
      </c>
      <c r="C9" s="15" t="s">
        <v>27</v>
      </c>
    </row>
    <row r="10" spans="1:3">
      <c r="A10" s="15" t="s">
        <v>28</v>
      </c>
      <c r="B10" s="15" t="s">
        <v>37</v>
      </c>
      <c r="C10" s="15" t="s">
        <v>29</v>
      </c>
    </row>
    <row r="11" spans="1:3">
      <c r="A11" s="15"/>
      <c r="B11" s="15"/>
      <c r="C11" s="15"/>
    </row>
    <row r="12" spans="1:3">
      <c r="A12" s="15" t="s">
        <v>30</v>
      </c>
      <c r="B12" s="15" t="s">
        <v>31</v>
      </c>
      <c r="C12" s="15" t="s">
        <v>32</v>
      </c>
    </row>
    <row r="13" spans="1:3">
      <c r="A13" s="15"/>
      <c r="B13" s="15"/>
      <c r="C13" s="15"/>
    </row>
    <row r="14" spans="1:3">
      <c r="A14" s="15" t="s">
        <v>33</v>
      </c>
      <c r="B14" s="15" t="s">
        <v>34</v>
      </c>
      <c r="C14" s="15" t="s">
        <v>35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topLeftCell="E1" zoomScale="113" workbookViewId="0">
      <selection activeCell="V32" sqref="V32"/>
    </sheetView>
  </sheetViews>
  <sheetFormatPr baseColWidth="10" defaultColWidth="8.77734375" defaultRowHeight="14.4"/>
  <cols>
    <col min="4" max="4" width="4.77734375" bestFit="1" customWidth="1"/>
  </cols>
  <sheetData>
    <row r="2" spans="2:31" ht="15.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t="str">
        <f>W4&amp;W5</f>
        <v>35φ</v>
      </c>
      <c r="X3" t="str">
        <f t="shared" ref="X3" si="13">X4&amp;X5</f>
        <v>351/3 φ</v>
      </c>
      <c r="Y3" t="str">
        <f t="shared" ref="Y3" si="14">Y4&amp;Y5</f>
        <v>352/3 φ</v>
      </c>
      <c r="Z3" t="str">
        <f t="shared" ref="Z3" si="15">Z4&amp;Z5</f>
        <v>37.5φ</v>
      </c>
      <c r="AA3" t="str">
        <f t="shared" ref="AA3" si="16">AA4&amp;AA5</f>
        <v>37.51/3 φ</v>
      </c>
      <c r="AB3" t="str">
        <f t="shared" ref="AB3" si="17">AB4&amp;AB5</f>
        <v>37.52/3 φ</v>
      </c>
      <c r="AC3" t="str">
        <f t="shared" ref="AC3" si="18">AC4&amp;AC5</f>
        <v>40φ</v>
      </c>
      <c r="AD3" t="str">
        <f t="shared" ref="AD3" si="19">AD4&amp;AD5</f>
        <v>401/3 φ</v>
      </c>
      <c r="AE3" t="str">
        <f>AE4&amp;AE5</f>
        <v>402/3 φ</v>
      </c>
    </row>
    <row r="4" spans="2:31">
      <c r="B4" s="86" t="s">
        <v>8</v>
      </c>
      <c r="C4" s="86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87"/>
      <c r="C5" s="87"/>
      <c r="D5" s="11" t="s">
        <v>6</v>
      </c>
      <c r="E5" s="10" t="s">
        <v>38</v>
      </c>
      <c r="F5" s="10" t="s">
        <v>37</v>
      </c>
      <c r="G5" s="10" t="s">
        <v>36</v>
      </c>
      <c r="H5" s="10" t="s">
        <v>38</v>
      </c>
      <c r="I5" s="10" t="s">
        <v>37</v>
      </c>
      <c r="J5" s="10" t="s">
        <v>36</v>
      </c>
      <c r="K5" s="10" t="s">
        <v>38</v>
      </c>
      <c r="L5" s="10" t="s">
        <v>37</v>
      </c>
      <c r="M5" s="10" t="s">
        <v>36</v>
      </c>
      <c r="N5" s="10" t="s">
        <v>38</v>
      </c>
      <c r="O5" s="10" t="s">
        <v>37</v>
      </c>
      <c r="P5" s="10" t="s">
        <v>36</v>
      </c>
      <c r="Q5" s="10" t="s">
        <v>38</v>
      </c>
      <c r="R5" s="10" t="s">
        <v>37</v>
      </c>
      <c r="S5" s="10" t="s">
        <v>36</v>
      </c>
      <c r="T5" s="10" t="s">
        <v>38</v>
      </c>
      <c r="U5" s="10" t="s">
        <v>37</v>
      </c>
      <c r="V5" s="10" t="s">
        <v>36</v>
      </c>
      <c r="W5" s="10" t="s">
        <v>38</v>
      </c>
      <c r="X5" s="10" t="s">
        <v>37</v>
      </c>
      <c r="Y5" s="10" t="s">
        <v>36</v>
      </c>
      <c r="Z5" s="10" t="s">
        <v>38</v>
      </c>
      <c r="AA5" s="10" t="s">
        <v>37</v>
      </c>
      <c r="AB5" s="10" t="s">
        <v>36</v>
      </c>
      <c r="AC5" s="10" t="s">
        <v>38</v>
      </c>
      <c r="AD5" s="10" t="s">
        <v>37</v>
      </c>
      <c r="AE5" s="10" t="s">
        <v>36</v>
      </c>
    </row>
    <row r="6" spans="2:31">
      <c r="B6" s="83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84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84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84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85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83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84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84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84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85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83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84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84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84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85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83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84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84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84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85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83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84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84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84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85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ColWidth="11.44140625" defaultRowHeight="14.4"/>
  <cols>
    <col min="4" max="4" width="4.44140625" bestFit="1" customWidth="1"/>
  </cols>
  <sheetData>
    <row r="2" spans="2:25" ht="15.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86" t="s">
        <v>8</v>
      </c>
      <c r="C4" s="86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88"/>
      <c r="C5" s="88"/>
      <c r="D5" s="11" t="s">
        <v>6</v>
      </c>
      <c r="E5" s="10" t="s">
        <v>38</v>
      </c>
      <c r="F5" s="10" t="s">
        <v>37</v>
      </c>
      <c r="G5" s="10" t="s">
        <v>36</v>
      </c>
      <c r="H5" s="10" t="s">
        <v>38</v>
      </c>
      <c r="I5" s="10" t="s">
        <v>37</v>
      </c>
      <c r="J5" s="10" t="s">
        <v>36</v>
      </c>
      <c r="K5" s="10" t="s">
        <v>38</v>
      </c>
      <c r="L5" s="10" t="s">
        <v>37</v>
      </c>
      <c r="M5" s="10" t="s">
        <v>36</v>
      </c>
      <c r="N5" s="10" t="s">
        <v>38</v>
      </c>
      <c r="O5" s="10" t="s">
        <v>37</v>
      </c>
      <c r="P5" s="10" t="s">
        <v>36</v>
      </c>
      <c r="Q5" s="10" t="s">
        <v>38</v>
      </c>
      <c r="R5" s="10" t="s">
        <v>37</v>
      </c>
      <c r="S5" s="10" t="s">
        <v>36</v>
      </c>
      <c r="T5" s="10" t="s">
        <v>38</v>
      </c>
      <c r="U5" s="10" t="s">
        <v>37</v>
      </c>
      <c r="V5" s="10" t="s">
        <v>36</v>
      </c>
      <c r="W5" s="10" t="s">
        <v>38</v>
      </c>
      <c r="X5" s="10" t="s">
        <v>37</v>
      </c>
      <c r="Y5" s="10" t="s">
        <v>36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ColWidth="11.44140625" defaultRowHeight="14.4"/>
  <sheetData>
    <row r="2" spans="2:12" ht="15.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Home</vt:lpstr>
      <vt:lpstr>Tabelle1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Jerry</cp:lastModifiedBy>
  <dcterms:created xsi:type="dcterms:W3CDTF">2025-02-11T15:00:34Z</dcterms:created>
  <dcterms:modified xsi:type="dcterms:W3CDTF">2025-04-30T08:42:28Z</dcterms:modified>
</cp:coreProperties>
</file>