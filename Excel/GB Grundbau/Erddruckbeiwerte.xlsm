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C98BA4CD-4B90-4342-A32F-24573846DFD7}" xr6:coauthVersionLast="47" xr6:coauthVersionMax="47" xr10:uidLastSave="{00000000-0000-0000-0000-000000000000}"/>
  <bookViews>
    <workbookView xWindow="660" yWindow="144" windowWidth="43944" windowHeight="16416" xr2:uid="{00000000-000D-0000-FFFF-FFFF00000000}"/>
  </bookViews>
  <sheets>
    <sheet name="Home" sheetId="4" r:id="rId1"/>
    <sheet name="Erdrukarten" sheetId="5" state="hidden" r:id="rId2"/>
    <sheet name="aktiver Erddruckbeiwert" sheetId="1" r:id="rId3"/>
    <sheet name="passiver Erddruckbeiwerte" sheetId="2" r:id="rId4"/>
    <sheet name="Ruhedruckbeiwert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4" l="1"/>
  <c r="C34" i="4"/>
  <c r="G31" i="4"/>
  <c r="D31" i="4"/>
  <c r="D33" i="4"/>
  <c r="G30" i="4"/>
  <c r="G29" i="4"/>
  <c r="D30" i="4"/>
  <c r="D29" i="4"/>
  <c r="E14" i="4"/>
  <c r="D1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AE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  <c r="D21" i="4" s="1"/>
  <c r="D26" i="4" l="1"/>
  <c r="G26" i="4"/>
  <c r="D25" i="4"/>
  <c r="G25" i="4" s="1"/>
  <c r="D24" i="4"/>
  <c r="G24" i="4" s="1"/>
  <c r="D27" i="4"/>
  <c r="G2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<sst xmlns="http://schemas.openxmlformats.org/spreadsheetml/2006/main" count="157" uniqueCount="87">
  <si>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</si>
  <si>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</si>
  <si>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</si>
  <si>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</si>
  <si>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</si>
  <si>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</si>
  <si>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</si>
  <si>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</si>
  <si>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</si>
  <si>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</si>
  <si>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</si>
  <si>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</si>
  <si>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</si>
  <si>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</si>
  <si>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</si>
  <si>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</si>
  <si>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</si>
  <si>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</si>
  <si>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</si>
  <si>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</si>
  <si>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</si>
  <si>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</si>
  <si>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</si>
  <si>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</si>
  <si>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</si>
  <si>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</si>
  <si>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</si>
  <si>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</si>
  <si>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</si>
  <si>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</si>
  <si>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</si>
  <si>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</si>
  <si>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</si>
  <si>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</si>
  <si>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</si>
  <si>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</si>
  <si>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</si>
  <si>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</si>
  <si>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</si>
  <si>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</si>
  <si>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</si>
  <si>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</si>
  <si>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</si>
  <si>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</si>
  <si>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</si>
  <si>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</si>
  <si>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</si>
  <si>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</si>
  <si>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</si>
  <si>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</si>
  <si>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</si>
  <si>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</si>
  <si>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</si>
  <si>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α (Wandneigung)</t>
  </si>
  <si>
    <t>φ = ϕ (Winkel der inneren Reibung, Reibungswinkel)</t>
  </si>
  <si>
    <t>β (Böschungsneigung bzw. Neigung der Terrainoberfläche)</t>
  </si>
  <si>
    <t>Bezeichnung</t>
  </si>
  <si>
    <t>Wandhöhe</t>
  </si>
  <si>
    <t>Bodengewicht (spezifisches Gewicht)</t>
  </si>
  <si>
    <t>horizontaler aktiver Erddruckbeiwert (z. B. nach Blum)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</si>
  <si>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</si>
  <si>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</si>
  <si>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</si>
  <si>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</si>
  <si>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</si>
  <si>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</si>
  <si>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</si>
  <si>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</si>
  <si>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</si>
  <si>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</si>
  <si>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</si>
  <si>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</si>
  <si>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</si>
  <si>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</si>
  <si>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r>
      <t>γ</t>
    </r>
    <r>
      <rPr>
        <sz val="11"/>
        <color theme="1"/>
        <rFont val="Calibri"/>
        <family val="2"/>
        <scheme val="minor"/>
      </rPr>
      <t xml:space="preserve"> (gamma)</t>
    </r>
  </si>
  <si>
    <t>Grundbau Erddruck</t>
  </si>
  <si>
    <t>Horizontalen, Aktiver &amp; Passiver Erddruckbeiwert aus der Tabelle nach Blum</t>
  </si>
  <si>
    <t>Eigengewicht</t>
  </si>
  <si>
    <t>Oberlast</t>
  </si>
  <si>
    <t>Kohäsion</t>
  </si>
  <si>
    <t>Dreieck</t>
  </si>
  <si>
    <t>Rechteck</t>
  </si>
  <si>
    <r>
      <t>Eah = horizontaler aktiver Erddruck</t>
    </r>
    <r>
      <rPr>
        <b/>
        <i/>
        <sz val="9"/>
        <color theme="1"/>
        <rFont val="Calibri"/>
        <family val="2"/>
        <scheme val="minor"/>
      </rPr>
      <t xml:space="preserve">     (Das ist eine Kraft pro Meter Wandlänge)</t>
    </r>
  </si>
  <si>
    <t>Eah (Total)</t>
  </si>
  <si>
    <t>eah oben</t>
  </si>
  <si>
    <t>eah unten</t>
  </si>
  <si>
    <t>eah​(z)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</si>
</sst>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medium">
        <color indexed="64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8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0" fontId="1" fillId="0" borderId="2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30" xfId="3" applyNumberFormat="1" applyFont="1" applyBorder="1" applyAlignment="1" applyProtection="1">
      <alignment horizontal="right" vertical="center"/>
    </xf>
    <xf numFmtId="0" fontId="0" fillId="2" borderId="32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8" xfId="2" applyFont="1" applyBorder="1" applyProtection="1"/>
    <xf numFmtId="164" fontId="18" fillId="3" borderId="31" xfId="2" applyNumberFormat="1" applyFont="1" applyBorder="1" applyProtection="1"/>
    <xf numFmtId="0" fontId="0" fillId="8" borderId="21" xfId="0" applyFill="1" applyBorder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165" fontId="0" fillId="8" borderId="12" xfId="0" applyNumberFormat="1" applyFill="1" applyBorder="1"/>
    <xf numFmtId="165" fontId="0" fillId="0" borderId="12" xfId="0" applyNumberFormat="1" applyBorder="1"/>
    <xf numFmtId="0" fontId="0" fillId="2" borderId="27" xfId="1" applyFont="1" applyBorder="1" applyAlignment="1" applyProtection="1">
      <alignment horizontal="right" vertical="center"/>
      <protection locked="0"/>
    </xf>
    <xf numFmtId="0" fontId="0" fillId="0" borderId="40" xfId="0" applyBorder="1"/>
    <xf numFmtId="165" fontId="1" fillId="0" borderId="42" xfId="0" applyNumberFormat="1" applyFont="1" applyBorder="1"/>
    <xf numFmtId="0" fontId="0" fillId="0" borderId="42" xfId="0" applyBorder="1"/>
    <xf numFmtId="0" fontId="0" fillId="0" borderId="43" xfId="0" applyBorder="1"/>
    <xf numFmtId="0" fontId="1" fillId="0" borderId="0" xfId="0" applyFont="1" applyAlignment="1">
      <alignment horizontal="right"/>
    </xf>
    <xf numFmtId="165" fontId="0" fillId="0" borderId="0" xfId="0" applyNumberFormat="1"/>
    <xf numFmtId="0" fontId="20" fillId="5" borderId="35" xfId="3" applyFont="1" applyBorder="1" applyAlignment="1" applyProtection="1">
      <alignment horizontal="left"/>
    </xf>
    <xf numFmtId="0" fontId="20" fillId="5" borderId="36" xfId="3" applyFont="1" applyBorder="1" applyAlignment="1" applyProtection="1">
      <alignment horizontal="left"/>
    </xf>
    <xf numFmtId="0" fontId="20" fillId="5" borderId="37" xfId="3" applyFont="1" applyBorder="1" applyAlignment="1" applyProtection="1">
      <alignment horizontal="left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2" fontId="0" fillId="5" borderId="15" xfId="3" applyNumberFormat="1" applyFont="1" applyBorder="1" applyAlignment="1" applyProtection="1">
      <alignment horizontal="center" vertical="center"/>
    </xf>
    <xf numFmtId="2" fontId="0" fillId="5" borderId="16" xfId="3" applyNumberFormat="1" applyFont="1" applyBorder="1" applyAlignment="1" applyProtection="1">
      <alignment horizontal="center" vertical="center"/>
    </xf>
    <xf numFmtId="2" fontId="0" fillId="5" borderId="17" xfId="3" applyNumberFormat="1" applyFont="1" applyBorder="1" applyAlignment="1" applyProtection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20" fillId="9" borderId="38" xfId="3" applyFont="1" applyFill="1" applyBorder="1" applyAlignment="1" applyProtection="1">
      <alignment horizontal="left" vertical="center"/>
    </xf>
    <xf numFmtId="0" fontId="20" fillId="9" borderId="39" xfId="3" applyFont="1" applyFill="1" applyBorder="1" applyAlignment="1" applyProtection="1">
      <alignment horizontal="left" vertical="center"/>
    </xf>
    <xf numFmtId="0" fontId="20" fillId="9" borderId="41" xfId="3" applyFont="1" applyFill="1" applyBorder="1" applyAlignment="1" applyProtection="1">
      <alignment horizontal="left" vertical="center"/>
    </xf>
    <xf numFmtId="0" fontId="20" fillId="9" borderId="44" xfId="3" applyFont="1" applyFill="1" applyBorder="1" applyAlignment="1" applyProtection="1">
      <alignment horizontal="left" vertical="center"/>
    </xf>
    <xf numFmtId="0" fontId="20" fillId="9" borderId="33" xfId="3" applyFont="1" applyFill="1" applyBorder="1" applyAlignment="1" applyProtection="1">
      <alignment horizontal="left" vertical="center"/>
    </xf>
    <xf numFmtId="0" fontId="20" fillId="9" borderId="34" xfId="3" applyFont="1" applyFill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Home!$D$29:$D$30</c:f>
              <c:numCache>
                <c:formatCode>#,##0.000</c:formatCode>
                <c:ptCount val="2"/>
                <c:pt idx="0">
                  <c:v>-2.480588203494178</c:v>
                </c:pt>
                <c:pt idx="1">
                  <c:v>44.879411796505821</c:v>
                </c:pt>
              </c:numCache>
            </c:numRef>
          </c:xVal>
          <c:yVal>
            <c:numRef>
              <c:f>Home!$D$32:$D$33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09-4EC1-8D7C-5719DA73D90F}"/>
            </c:ext>
          </c:extLst>
        </c:ser>
        <c:ser>
          <c:idx val="1"/>
          <c:order val="1"/>
          <c:spPr>
            <a:ln w="15875" cap="rnd">
              <a:solidFill>
                <a:schemeClr val="accent2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Home!$C$32:$C$33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Home!$D$32:$D$33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129209</xdr:colOff>
      <xdr:row>35</xdr:row>
      <xdr:rowOff>9938</xdr:rowOff>
    </xdr:from>
    <xdr:to>
      <xdr:col>2</xdr:col>
      <xdr:colOff>3551583</xdr:colOff>
      <xdr:row>59</xdr:row>
      <xdr:rowOff>26503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34"/>
  <sheetViews>
    <sheetView tabSelected="1" topLeftCell="A23" zoomScale="115" zoomScaleNormal="115" workbookViewId="0">
      <selection activeCell="F39" sqref="F39"/>
    </sheetView>
  </sheetViews>
  <sheetFormatPr baseColWidth="10" defaultRowHeight="14.4"/>
  <cols>
    <col min="1" max="1" width="8" customWidth="1"/>
    <col min="2" max="2" width="1.88671875" customWidth="1"/>
    <col min="3" max="3" width="51.88671875" customWidth="1"/>
    <col min="4" max="4" width="28.33203125" customWidth="1"/>
    <col min="5" max="5" width="13.109375" customWidth="1"/>
    <col min="6" max="6" width="18" customWidth="1"/>
    <col min="7" max="7" width="14.5546875" customWidth="1"/>
  </cols>
  <sheetData>
    <row r="1" spans="1:19" ht="18.600000000000001" thickBot="1">
      <c r="A1" s="28" t="s">
        <v>75</v>
      </c>
      <c r="B1" s="29"/>
      <c r="C1" s="29"/>
      <c r="D1" s="29"/>
      <c r="E1" s="30"/>
      <c r="F1" s="30"/>
      <c r="G1" s="31"/>
      <c r="H1" s="30"/>
      <c r="I1" s="30"/>
      <c r="J1" s="32" t="s">
        <v>44</v>
      </c>
      <c r="K1" s="33"/>
      <c r="L1" s="14"/>
      <c r="M1" s="14" t="s">
        <v>45</v>
      </c>
      <c r="N1" s="14" t="s">
        <v>46</v>
      </c>
      <c r="O1" s="14" t="s">
        <v>47</v>
      </c>
      <c r="P1" s="14" t="s">
        <v>48</v>
      </c>
      <c r="Q1" s="14" t="s">
        <v>49</v>
      </c>
      <c r="R1" s="14" t="s">
        <v>50</v>
      </c>
      <c r="S1" s="14" t="s">
        <v>51</v>
      </c>
    </row>
    <row r="2" spans="1:19" ht="15" thickBot="1"/>
    <row r="3" spans="1:19" ht="15" thickBot="1">
      <c r="B3" s="64" t="s">
        <v>76</v>
      </c>
      <c r="C3" s="65"/>
      <c r="D3" s="65"/>
      <c r="E3" s="65"/>
      <c r="F3" s="66"/>
    </row>
    <row r="4" spans="1:19" ht="15" thickBot="1">
      <c r="B4" s="24"/>
      <c r="C4" s="26" t="s">
        <v>22</v>
      </c>
      <c r="D4" s="26" t="s">
        <v>67</v>
      </c>
      <c r="E4" s="25"/>
      <c r="F4" s="27" t="s">
        <v>43</v>
      </c>
    </row>
    <row r="5" spans="1:19">
      <c r="C5" s="16" t="s">
        <v>41</v>
      </c>
      <c r="D5" s="22" t="s">
        <v>19</v>
      </c>
      <c r="E5" s="37"/>
      <c r="F5" s="38"/>
    </row>
    <row r="6" spans="1:19">
      <c r="C6" s="17" t="s">
        <v>54</v>
      </c>
      <c r="D6" s="21">
        <v>27.5</v>
      </c>
      <c r="E6" s="13"/>
      <c r="F6" s="20"/>
    </row>
    <row r="7" spans="1:19">
      <c r="C7" s="17" t="s">
        <v>53</v>
      </c>
      <c r="D7" s="23">
        <v>10</v>
      </c>
      <c r="E7" s="13"/>
      <c r="F7" s="39"/>
    </row>
    <row r="8" spans="1:19">
      <c r="C8" s="17" t="s">
        <v>55</v>
      </c>
      <c r="D8" s="21">
        <v>10</v>
      </c>
      <c r="E8" s="13"/>
      <c r="F8" s="39"/>
    </row>
    <row r="9" spans="1:19" ht="16.2" thickBot="1">
      <c r="C9" s="40" t="s">
        <v>40</v>
      </c>
      <c r="D9" s="34" t="s">
        <v>25</v>
      </c>
      <c r="E9" s="18" t="str">
        <f>VLOOKUP(D9,Tabelle1[],2,FALSE)</f>
        <v>2/3 φ</v>
      </c>
      <c r="F9" s="41" t="str">
        <f>VLOOKUP(D9,Tabelle1[],3,FALSE)</f>
        <v>z.B. Beton</v>
      </c>
    </row>
    <row r="10" spans="1:19" ht="16.2" thickBot="1">
      <c r="C10" s="35" t="s">
        <v>42</v>
      </c>
      <c r="D10" s="44" cm="1">
        <f t="array" ref="D10">GetKahValue(D7, D8, D6, E9, D5)</f>
        <v>0.29599999999999999</v>
      </c>
    </row>
    <row r="11" spans="1:19" ht="15" thickBot="1">
      <c r="B11" s="67" t="s">
        <v>52</v>
      </c>
      <c r="C11" s="68" t="s">
        <v>52</v>
      </c>
      <c r="D11" s="68"/>
      <c r="E11" s="68"/>
      <c r="F11" s="69"/>
    </row>
    <row r="12" spans="1:19" ht="15" thickBot="1">
      <c r="B12" s="24"/>
      <c r="C12" s="26" t="s">
        <v>22</v>
      </c>
      <c r="D12" s="26" t="s">
        <v>67</v>
      </c>
      <c r="E12" s="73" t="s">
        <v>69</v>
      </c>
      <c r="F12" s="73"/>
      <c r="G12" s="74"/>
    </row>
    <row r="13" spans="1:19" ht="15" thickBot="1">
      <c r="C13" s="17" t="s">
        <v>18</v>
      </c>
      <c r="D13" s="42">
        <v>22.5</v>
      </c>
    </row>
    <row r="14" spans="1:19" ht="16.2" thickBot="1">
      <c r="C14" s="36" t="s">
        <v>42</v>
      </c>
      <c r="D14" s="45">
        <f>1 - SIN(RADIANS(D13))</f>
        <v>0.61731656763491016</v>
      </c>
      <c r="E14" s="70" t="str">
        <f>"= 1 − sin(" &amp; D13 &amp; "°) = 1 − " &amp; TEXT(SIN(RADIANS(D13)),"0.000") &amp; " = " &amp; TEXT(1-SIN(RADIANS(D13)),"0.000")</f>
        <v>= 1 − sin(22.5°) = 1 − 0.383 = 0.617</v>
      </c>
      <c r="F14" s="71"/>
      <c r="G14" s="72"/>
    </row>
    <row r="16" spans="1:19" ht="15" thickBot="1"/>
    <row r="17" spans="2:14" ht="15" thickBot="1">
      <c r="B17" s="75" t="s">
        <v>82</v>
      </c>
      <c r="C17" s="68" t="s">
        <v>52</v>
      </c>
      <c r="D17" s="68"/>
      <c r="E17" s="68"/>
      <c r="F17" s="69"/>
    </row>
    <row r="18" spans="2:14" ht="15" thickBot="1">
      <c r="B18" s="43"/>
      <c r="C18" s="26" t="s">
        <v>22</v>
      </c>
      <c r="D18" s="26" t="s">
        <v>67</v>
      </c>
      <c r="E18" s="26" t="s">
        <v>56</v>
      </c>
      <c r="F18" s="26" t="s">
        <v>66</v>
      </c>
      <c r="G18" s="73" t="s">
        <v>69</v>
      </c>
      <c r="H18" s="73"/>
      <c r="I18" s="73"/>
      <c r="J18" s="73"/>
      <c r="K18" s="73"/>
      <c r="L18" s="73"/>
      <c r="M18" s="73"/>
      <c r="N18" s="74"/>
    </row>
    <row r="19" spans="2:14">
      <c r="C19" s="16" t="s">
        <v>57</v>
      </c>
      <c r="D19" s="54">
        <v>8</v>
      </c>
      <c r="E19" s="55" t="s">
        <v>61</v>
      </c>
      <c r="F19" s="55" t="s">
        <v>70</v>
      </c>
      <c r="G19" s="37"/>
      <c r="H19" s="37"/>
      <c r="I19" s="37"/>
      <c r="J19" s="37"/>
      <c r="K19" s="37"/>
      <c r="L19" s="37"/>
      <c r="M19" s="37"/>
      <c r="N19" s="38"/>
    </row>
    <row r="20" spans="2:14">
      <c r="C20" s="46" t="s">
        <v>58</v>
      </c>
      <c r="D20" s="21">
        <v>20</v>
      </c>
      <c r="E20" s="48" t="s">
        <v>74</v>
      </c>
      <c r="F20" s="48" t="s">
        <v>71</v>
      </c>
      <c r="N20" s="39"/>
    </row>
    <row r="21" spans="2:14">
      <c r="C21" s="17" t="s">
        <v>59</v>
      </c>
      <c r="D21" s="23">
        <f>D10</f>
        <v>0.29599999999999999</v>
      </c>
      <c r="E21" s="47" t="s">
        <v>60</v>
      </c>
      <c r="F21" s="47" t="s">
        <v>68</v>
      </c>
      <c r="N21" s="39"/>
    </row>
    <row r="22" spans="2:14">
      <c r="C22" s="46" t="s">
        <v>62</v>
      </c>
      <c r="D22" s="21">
        <v>10</v>
      </c>
      <c r="E22" s="48" t="s">
        <v>63</v>
      </c>
      <c r="F22" s="49" t="s">
        <v>72</v>
      </c>
      <c r="N22" s="39"/>
    </row>
    <row r="23" spans="2:14">
      <c r="C23" s="17" t="s">
        <v>64</v>
      </c>
      <c r="D23" s="23">
        <v>5</v>
      </c>
      <c r="E23" s="47" t="s">
        <v>65</v>
      </c>
      <c r="F23" s="6" t="s">
        <v>72</v>
      </c>
      <c r="N23" s="39"/>
    </row>
    <row r="24" spans="2:14">
      <c r="C24" s="50" t="s">
        <v>77</v>
      </c>
      <c r="D24" s="52">
        <f>IF(OR(D19="",D20="",D21=""),"-",0.5*D19^2*D20*D21)</f>
        <v>189.44</v>
      </c>
      <c r="E24" s="48" t="s">
        <v>80</v>
      </c>
      <c r="F24" s="49" t="s">
        <v>73</v>
      </c>
      <c r="G24" s="61" t="str">
        <f>IF(OR(D19="",D20="",D21=""),"-","0.5 · " &amp; D19 &amp; "² m² · " &amp; D20 &amp; " kN/m³ · " &amp; D21 &amp; " = " &amp; TEXT(D24,"0.00") &amp; " kN/m")</f>
        <v>0.5 · 8² m² · 20 kN/m³ · 0.296 = 189.44 kN/m</v>
      </c>
      <c r="H24" s="62"/>
      <c r="I24" s="62"/>
      <c r="J24" s="62"/>
      <c r="K24" s="62"/>
      <c r="L24" s="62"/>
      <c r="M24" s="62"/>
      <c r="N24" s="63"/>
    </row>
    <row r="25" spans="2:14">
      <c r="C25" s="51" t="s">
        <v>78</v>
      </c>
      <c r="D25" s="53">
        <f>IF(OR(D19="",D22="",D21=""),"-",D22*D19*D21)</f>
        <v>23.68</v>
      </c>
      <c r="E25" s="47" t="s">
        <v>81</v>
      </c>
      <c r="F25" s="6" t="s">
        <v>73</v>
      </c>
      <c r="G25" s="76" t="str">
        <f>IF(OR(D19="",D22="",D21=""),"-",D22 &amp; " kN/m² · " &amp; D19 &amp; " m · " &amp; D21 &amp; " = " &amp; TEXT(D25,"0.00") &amp; " kN/m")</f>
        <v>10 kN/m² · 8 m · 0.296 = 23.68 kN/m</v>
      </c>
      <c r="H25" s="77"/>
      <c r="I25" s="77"/>
      <c r="J25" s="77"/>
      <c r="K25" s="77"/>
      <c r="L25" s="77"/>
      <c r="M25" s="77"/>
      <c r="N25" s="78"/>
    </row>
    <row r="26" spans="2:14">
      <c r="C26" s="50" t="s">
        <v>79</v>
      </c>
      <c r="D26" s="52">
        <f>IF(OR(D19="",D23="",D21="",D23=0),"-",2*D23*D19*SQRT(D21))</f>
        <v>43.524705627953423</v>
      </c>
      <c r="E26" s="48"/>
      <c r="F26" s="49" t="s">
        <v>73</v>
      </c>
      <c r="G26" s="61" t="str">
        <f>IF(OR(D19="",D23="",D21="",D23=0),"-","2 · " &amp; D23 &amp; " kN/m² · " &amp; D19 &amp; " m · √" &amp; D21 &amp; " = " &amp; TEXT(D26,"0.00") &amp; " kN/m")</f>
        <v>2 · 5 kN/m² · 8 m · √0.296 = 43.52 kN/m</v>
      </c>
      <c r="H26" s="62"/>
      <c r="I26" s="62"/>
      <c r="J26" s="62"/>
      <c r="K26" s="62"/>
      <c r="L26" s="62"/>
      <c r="M26" s="62"/>
      <c r="N26" s="63"/>
    </row>
    <row r="27" spans="2:14" ht="15" thickBot="1">
      <c r="C27" s="35" t="s">
        <v>83</v>
      </c>
      <c r="D27" s="56">
        <f>0.5*D19^2*D20*D21 + D22*D19*D21 - IF(OR(D23="",D23=0),0,2*D23*D19*SQRT(D21))</f>
        <v>169.59529437204657</v>
      </c>
      <c r="E27" s="57"/>
      <c r="F27" s="58" t="s">
        <v>73</v>
      </c>
      <c r="G27" s="79" t="str">
        <f>IF(OR(D19="",D20="",D21="",D22="",D23=""),"-","(½ · " &amp; D19 &amp; "² m² · " &amp; D20 &amp; " kN/m³ · " &amp; D21 &amp; ") + (" &amp; D22 &amp; " kN/m² · " &amp; D19 &amp; " m · " &amp; D21 &amp; ")" &amp; IF(OR(D23="",D23=0),""," − (2 · " &amp; D23 &amp; " kN/m² · " &amp; D19 &amp; " m · √" &amp; D21 &amp; ")") &amp; " = " &amp; TEXT(D27,"0.00") &amp; " kN/m")</f>
        <v>(½ · 8² m² · 20 kN/m³ · 0.296) + (10 kN/m² · 8 m · 0.296) − (2 · 5 kN/m² · 8 m · √0.296) = 169.60 kN/m</v>
      </c>
      <c r="H27" s="80"/>
      <c r="I27" s="80"/>
      <c r="J27" s="80"/>
      <c r="K27" s="80"/>
      <c r="L27" s="80"/>
      <c r="M27" s="80"/>
      <c r="N27" s="81"/>
    </row>
    <row r="29" spans="2:14">
      <c r="C29" s="59" t="s">
        <v>84</v>
      </c>
      <c r="D29" s="52">
        <f>D22*D21 - 2*D23*SQRT(D21)</f>
        <v>-2.480588203494178</v>
      </c>
      <c r="F29" s="49" t="s">
        <v>72</v>
      </c>
      <c r="G29" s="61" t="str">
        <f>IF(OR(D21="",D22="",D23=""),"-",D22 &amp; " kN/m² · " &amp; D21 &amp; " − 2 · " &amp; D23 &amp; " kN/m² · √" &amp; D21 &amp; " = " &amp; TEXT(D29,"0.00") &amp; " kN/m²")</f>
        <v>10 kN/m² · 0.296 − 2 · 5 kN/m² · √0.296 = -2.48 kN/m²</v>
      </c>
      <c r="H29" s="62"/>
      <c r="I29" s="62"/>
      <c r="J29" s="62"/>
      <c r="K29" s="62"/>
      <c r="L29" s="62"/>
      <c r="M29" s="62"/>
      <c r="N29" s="63"/>
    </row>
    <row r="30" spans="2:14">
      <c r="C30" s="59" t="s">
        <v>85</v>
      </c>
      <c r="D30" s="53">
        <f>D20*D19*D21 + D22*D21 - 2*D23*SQRT(D21)</f>
        <v>44.879411796505821</v>
      </c>
      <c r="F30" s="6" t="s">
        <v>72</v>
      </c>
      <c r="G30" s="76" t="str">
        <f>IF(OR(D19="",D20="",D21="",D22="",D23=""),"-",D20 &amp; " kN/m³ · " &amp; D19 &amp; " m · " &amp; D21 &amp; " + " &amp; D22 &amp; " kN/m² · " &amp; D21 &amp; " − 2 · " &amp; D23 &amp; " kN/m² · √" &amp; D21 &amp; " = " &amp; TEXT(D30,"0.00") &amp; " kN/m²")</f>
        <v>20 kN/m³ · 8 m · 0.296 + 10 kN/m² · 0.296 − 2 · 5 kN/m² · √0.296 = 44.88 kN/m²</v>
      </c>
      <c r="H30" s="77"/>
      <c r="I30" s="77"/>
      <c r="J30" s="77"/>
      <c r="K30" s="77"/>
      <c r="L30" s="77"/>
      <c r="M30" s="77"/>
      <c r="N30" s="78"/>
    </row>
    <row r="31" spans="2:14">
      <c r="C31" s="59" t="s">
        <v>86</v>
      </c>
      <c r="D31" s="52">
        <f>IF(OR(D21=0,D20=0),"-",(2*D23*SQRT(D21)-D22*D21)/(D20*D21))</f>
        <v>0.41901827761725979</v>
      </c>
      <c r="F31" s="49" t="s">
        <v>70</v>
      </c>
      <c r="G31" s="61" t="str">
        <f>IF(OR(D21=0,D20=0),"-","(2 · " &amp; D23 &amp; " kN/m² · √" &amp; D21 &amp; " − " &amp; D22 &amp; " kN/m² · " &amp; D21 &amp; ") ÷ (" &amp; D20 &amp; " kN/m³ · " &amp; D21 &amp; ") = " &amp; TEXT((2*D23*SQRT(D21)-D22*D21)/(D20*D21),"0.00") &amp; " m")</f>
        <v>(2 · 5 kN/m² · √0.296 − 10 kN/m² · 0.296) ÷ (20 kN/m³ · 0.296) = 0.42 m</v>
      </c>
      <c r="H31" s="62"/>
      <c r="I31" s="62"/>
      <c r="J31" s="62"/>
      <c r="K31" s="62"/>
      <c r="L31" s="62"/>
      <c r="M31" s="62"/>
      <c r="N31" s="63"/>
    </row>
    <row r="32" spans="2:14">
      <c r="C32">
        <v>0</v>
      </c>
      <c r="D32">
        <v>0</v>
      </c>
    </row>
    <row r="33" spans="3:4">
      <c r="C33">
        <v>0</v>
      </c>
      <c r="D33">
        <f>D19</f>
        <v>8</v>
      </c>
    </row>
    <row r="34" spans="3:4">
      <c r="C34" s="60">
        <f>D31</f>
        <v>0.41901827761725979</v>
      </c>
      <c r="D34" s="60">
        <f>D31</f>
        <v>0.41901827761725979</v>
      </c>
    </row>
  </sheetData>
  <sheetProtection selectLockedCells="1"/>
  <mergeCells count="13">
    <mergeCell ref="G31:N31"/>
    <mergeCell ref="B3:F3"/>
    <mergeCell ref="B11:F11"/>
    <mergeCell ref="E14:G14"/>
    <mergeCell ref="E12:G12"/>
    <mergeCell ref="B17:F17"/>
    <mergeCell ref="G29:N29"/>
    <mergeCell ref="G30:N30"/>
    <mergeCell ref="G24:N24"/>
    <mergeCell ref="G18:N18"/>
    <mergeCell ref="G27:N27"/>
    <mergeCell ref="G26:N26"/>
    <mergeCell ref="G25:N25"/>
  </mergeCells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1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D15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showGridLines="0" showRowColHeaders="0" zoomScale="113" workbookViewId="0">
      <selection activeCell="P30" sqref="P30"/>
    </sheetView>
  </sheetViews>
  <sheetFormatPr baseColWidth="10"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s="14" t="str">
        <f>W4&amp;W5</f>
        <v>35φ</v>
      </c>
      <c r="X3" s="14" t="str">
        <f t="shared" ref="X3" si="13">X4&amp;X5</f>
        <v>351/3 φ</v>
      </c>
      <c r="Y3" s="14" t="str">
        <f t="shared" ref="Y3" si="14">Y4&amp;Y5</f>
        <v>352/3 φ</v>
      </c>
      <c r="Z3" s="14" t="str">
        <f t="shared" ref="Z3" si="15">Z4&amp;Z5</f>
        <v>37.5φ</v>
      </c>
      <c r="AA3" s="14" t="str">
        <f t="shared" ref="AA3" si="16">AA4&amp;AA5</f>
        <v>37.51/3 φ</v>
      </c>
      <c r="AB3" s="14" t="str">
        <f t="shared" ref="AB3" si="17">AB4&amp;AB5</f>
        <v>37.52/3 φ</v>
      </c>
      <c r="AC3" s="14" t="str">
        <f t="shared" ref="AC3" si="18">AC4&amp;AC5</f>
        <v>40φ</v>
      </c>
      <c r="AD3" s="14" t="str">
        <f t="shared" ref="AD3" si="19">AD4&amp;AD5</f>
        <v>401/3 φ</v>
      </c>
      <c r="AE3" s="14" t="str">
        <f t="shared" ref="AE3" si="20">AE4&amp;AE5</f>
        <v>402/3 φ</v>
      </c>
    </row>
    <row r="4" spans="2:31">
      <c r="B4" s="85" t="s">
        <v>8</v>
      </c>
      <c r="C4" s="85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86"/>
      <c r="C5" s="86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82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83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83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83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84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82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83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83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83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84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82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83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83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83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84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82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83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83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83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84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82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83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83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83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84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sheetProtection algorithmName="SHA-512" hashValue="hqC2RNxH/4JQ1//J8GwaWOVHOadI53M8vv/7bf33JT2GwnAknUwGGULaqiP/vFnuwUyIrDuhIrm78+n9Z5OFZw==" saltValue="vO9btXalMYNrTmIkQm5WmQ==" spinCount="100000" sheet="1" objects="1" scenarios="1"/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85" t="s">
        <v>8</v>
      </c>
      <c r="C4" s="85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87"/>
      <c r="C5" s="87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Home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Jerry</cp:lastModifiedBy>
  <dcterms:created xsi:type="dcterms:W3CDTF">2025-02-11T15:00:34Z</dcterms:created>
  <dcterms:modified xsi:type="dcterms:W3CDTF">2025-04-24T08:07:45Z</dcterms:modified>
</cp:coreProperties>
</file>