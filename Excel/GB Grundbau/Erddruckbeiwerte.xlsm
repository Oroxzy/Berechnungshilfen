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GB Grundbau\"/>
    </mc:Choice>
  </mc:AlternateContent>
  <xr:revisionPtr revIDLastSave="0" documentId="13_ncr:1_{F8020273-7AB5-4E7F-ABFA-8E6912D3A2F4}" xr6:coauthVersionLast="47" xr6:coauthVersionMax="47" xr10:uidLastSave="{00000000-0000-0000-0000-000000000000}"/>
  <bookViews>
    <workbookView xWindow="2496" yWindow="0" windowWidth="30180" windowHeight="16656" xr2:uid="{00000000-000D-0000-FFFF-FFFF00000000}"/>
  </bookViews>
  <sheets>
    <sheet name="Home" sheetId="4" r:id="rId1"/>
    <sheet name="Tabelle1" sheetId="6" r:id="rId2"/>
    <sheet name="Erdrukarten" sheetId="5" state="hidden" r:id="rId3"/>
    <sheet name="aktiver Erddruckbeiwert" sheetId="1" r:id="rId4"/>
    <sheet name="passiver Erddruckbeiwerte" sheetId="2" r:id="rId5"/>
    <sheet name="Ruhedruckbeiwerte" sheetId="3" r:id="rId6"/>
  </sheets>
  <functionGroups builtInGroupCount="19"/>
  <definedNames>
    <definedName name="_xleta.N" hidden="1" xlm="1">#NAME?</definedName>
    <definedName name="_xleta.TA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4" l="1"/>
  <c r="D30" i="4" s="1"/>
  <c r="G30" i="4" s="1"/>
  <c r="B13" i="6"/>
  <c r="C13" i="6"/>
  <c r="C7" i="6"/>
  <c r="C4" i="6"/>
  <c r="B3" i="6"/>
  <c r="C2" i="6"/>
  <c r="C1" i="6"/>
  <c r="B1" i="6"/>
  <c r="C10" i="6"/>
  <c r="C5" i="6"/>
  <c r="B4" i="6"/>
  <c r="AE3" i="1"/>
  <c r="D27" i="4" l="1"/>
  <c r="G27" i="4" s="1"/>
  <c r="D32" i="4"/>
  <c r="G32" i="4" s="1"/>
  <c r="E14" i="4"/>
  <c r="D14" i="4"/>
  <c r="P3" i="2"/>
  <c r="Q3" i="2"/>
  <c r="R3" i="2"/>
  <c r="S3" i="2"/>
  <c r="T3" i="2"/>
  <c r="U3" i="2"/>
  <c r="V3" i="2"/>
  <c r="W3" i="2"/>
  <c r="X3" i="2"/>
  <c r="Y3" i="2"/>
  <c r="F3" i="2"/>
  <c r="G3" i="2"/>
  <c r="H3" i="2"/>
  <c r="I3" i="2"/>
  <c r="J3" i="2"/>
  <c r="K3" i="2"/>
  <c r="L3" i="2"/>
  <c r="M3" i="2"/>
  <c r="N3" i="2"/>
  <c r="O3" i="2"/>
  <c r="E3" i="2"/>
  <c r="F9" i="4"/>
  <c r="E9" i="4"/>
  <c r="W3" i="1"/>
  <c r="X3" i="1"/>
  <c r="Y3" i="1"/>
  <c r="Z3" i="1"/>
  <c r="AA3" i="1"/>
  <c r="AB3" i="1"/>
  <c r="AC3" i="1"/>
  <c r="AD3" i="1"/>
  <c r="N3" i="1"/>
  <c r="O3" i="1"/>
  <c r="P3" i="1"/>
  <c r="Q3" i="1"/>
  <c r="R3" i="1"/>
  <c r="S3" i="1"/>
  <c r="T3" i="1"/>
  <c r="U3" i="1"/>
  <c r="V3" i="1"/>
  <c r="H3" i="1"/>
  <c r="I3" i="1"/>
  <c r="J3" i="1"/>
  <c r="K3" i="1"/>
  <c r="L3" i="1"/>
  <c r="M3" i="1"/>
  <c r="F3" i="1"/>
  <c r="G3" i="1"/>
  <c r="E3" i="1"/>
  <c r="D10" i="4" a="1"/>
  <c r="D10" i="4" l="1"/>
  <c r="D24" i="4" s="1"/>
  <c r="G33" i="4" l="1"/>
  <c r="D33" i="4"/>
  <c r="B19" i="6" s="1"/>
  <c r="D31" i="4"/>
  <c r="D29" i="4"/>
  <c r="G29" i="4" s="1"/>
  <c r="D28" i="4"/>
  <c r="G28" i="4" s="1"/>
  <c r="B8" i="6" l="1"/>
  <c r="B16" i="6"/>
  <c r="C8" i="6"/>
  <c r="C14" i="6"/>
  <c r="G3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<sst xmlns="http://schemas.openxmlformats.org/spreadsheetml/2006/main" count="189" uniqueCount="114">
  <si>
    <t>φ° =</t>
  </si>
  <si>
    <t>20</t>
  </si>
  <si>
    <t>22.5</t>
  </si>
  <si>
    <t>25</t>
  </si>
  <si>
    <t>27.5</t>
  </si>
  <si>
    <t>30</t>
  </si>
  <si>
    <t xml:space="preserve">δ° = </t>
  </si>
  <si>
    <t>β°=</t>
  </si>
  <si>
    <t>α°=</t>
  </si>
  <si>
    <r>
      <t xml:space="preserve">Horizontale aktive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ah</t>
    </r>
  </si>
  <si>
    <r>
      <t xml:space="preserve">Horizontale passive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ph</t>
    </r>
  </si>
  <si>
    <t>φ [°]</t>
  </si>
  <si>
    <t>32.5</t>
  </si>
  <si>
    <t>35</t>
  </si>
  <si>
    <t>37.5</t>
  </si>
  <si>
    <t>40</t>
  </si>
  <si>
    <t>K₀</t>
  </si>
  <si>
    <r>
      <t xml:space="preserve">Ruhedruckbeiwerte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0</t>
    </r>
  </si>
  <si>
    <t>ϕ (Reibungswinkel):</t>
  </si>
  <si>
    <t>Aktiver Erddruck (Ka)</t>
  </si>
  <si>
    <t>Passiver Erddruck (Kp)</t>
  </si>
  <si>
    <t>Ruhedruck (K0)</t>
  </si>
  <si>
    <t>Beschreibung</t>
  </si>
  <si>
    <t>δ in Bezug auf φ</t>
  </si>
  <si>
    <t>Beispiel</t>
  </si>
  <si>
    <t>normale Bauwerksoberfläche</t>
  </si>
  <si>
    <t>z.B. Beton</t>
  </si>
  <si>
    <t>sehr rauhe Bauwerksoberfläche</t>
  </si>
  <si>
    <t>z.B. Sickerbeton</t>
  </si>
  <si>
    <t>glatte Bauwerksoberfläche</t>
  </si>
  <si>
    <t>z.B. Stahlwand</t>
  </si>
  <si>
    <t>passiver Erddruck</t>
  </si>
  <si>
    <t>δ = − 1/3 φ</t>
  </si>
  <si>
    <t>für alle Bauwerksoberflächen</t>
  </si>
  <si>
    <t>Ruhedruck</t>
  </si>
  <si>
    <t>δ = 0</t>
  </si>
  <si>
    <t>–</t>
  </si>
  <si>
    <t>2/3 φ</t>
  </si>
  <si>
    <t>1/3 φ</t>
  </si>
  <si>
    <t>φ</t>
  </si>
  <si>
    <t>δ°-Anteil (z. B. 0,1/3 φ, 2/3 φ)</t>
  </si>
  <si>
    <t>Erdruck Typ</t>
  </si>
  <si>
    <t>Erddruckbeiwert:</t>
  </si>
  <si>
    <t>info</t>
  </si>
  <si>
    <t>meile.jeremy@stud.bauschule.ch</t>
  </si>
  <si>
    <t>Steine</t>
  </si>
  <si>
    <t>Kies</t>
  </si>
  <si>
    <t>Sand</t>
  </si>
  <si>
    <t>Silt</t>
  </si>
  <si>
    <t>Ton</t>
  </si>
  <si>
    <t>Fein</t>
  </si>
  <si>
    <t>Summe</t>
  </si>
  <si>
    <t>Ruhedruckbeiwert</t>
  </si>
  <si>
    <t>Bezeichnung</t>
  </si>
  <si>
    <t>Wandhöhe</t>
  </si>
  <si>
    <t>Kah</t>
  </si>
  <si>
    <t>h</t>
  </si>
  <si>
    <t>Auflast an der Oberfläche (z. B. Verkehr, Gebäude)</t>
  </si>
  <si>
    <t>p</t>
  </si>
  <si>
    <t>Kohäsion (z. B. bei lehmigem Boden)</t>
  </si>
  <si>
    <t>c</t>
  </si>
  <si>
    <t>Einheit</t>
  </si>
  <si>
    <t>Wert</t>
  </si>
  <si>
    <t>[–] (dimensionslos)</t>
  </si>
  <si>
    <t>Lösungsweg</t>
  </si>
  <si>
    <t>m</t>
  </si>
  <si>
    <t>kN/m³</t>
  </si>
  <si>
    <t>kN/m²</t>
  </si>
  <si>
    <t>kN/m</t>
  </si>
  <si>
    <t>Grundbau Erddruck</t>
  </si>
  <si>
    <t>Horizontalen, Aktiver &amp; Passiver Erddruckbeiwert aus der Tabelle nach Blum</t>
  </si>
  <si>
    <t>Eigengewicht</t>
  </si>
  <si>
    <t>Oberlast</t>
  </si>
  <si>
    <t>Kohäsion</t>
  </si>
  <si>
    <t>Dreieck</t>
  </si>
  <si>
    <t>Rechteck</t>
  </si>
  <si>
    <t>eah​(z)</t>
  </si>
  <si>
    <t>&gt; 1.5m!</t>
  </si>
  <si>
    <t>Aktiver horizontaler Erddruck</t>
  </si>
  <si>
    <t>EahO</t>
  </si>
  <si>
    <t>EahU</t>
  </si>
  <si>
    <t>Aktiver horizontaler Erddruck (Oben)</t>
  </si>
  <si>
    <t>Aktiver horizontaler Erddruck (Unten)</t>
  </si>
  <si>
    <t>Erddruck</t>
  </si>
  <si>
    <t>EaH</t>
  </si>
  <si>
    <t xml:space="preserve">Höhe und Tiefe: </t>
  </si>
  <si>
    <t>stützmauer y</t>
  </si>
  <si>
    <t>stützmauer x</t>
  </si>
  <si>
    <t>neigung hinterfüllung x</t>
  </si>
  <si>
    <t>neigung hinterfüllung y</t>
  </si>
  <si>
    <t>Erdruck schräge x</t>
  </si>
  <si>
    <t>Erdruck schräge y</t>
  </si>
  <si>
    <t>Vertikale Linie x</t>
  </si>
  <si>
    <t>Vertikale Linie y</t>
  </si>
  <si>
    <t>unten strich y</t>
  </si>
  <si>
    <t>unten strich x</t>
  </si>
  <si>
    <t>oben strich y</t>
  </si>
  <si>
    <t>oben strich x</t>
  </si>
  <si>
    <t>punkt</t>
  </si>
  <si>
    <t>γsat​</t>
  </si>
  <si>
    <t>Bodengewicht​ (gesättigt)</t>
  </si>
  <si>
    <t>γ′</t>
  </si>
  <si>
    <t>Bodengewicht (spezifisch)</t>
  </si>
  <si>
    <t>Grundwasserspiegel unter Geländeoberfläche</t>
  </si>
  <si>
    <t>Horizontaler aktiver Erddruckbeiwert (z. B. nach Blum)</t>
  </si>
  <si>
    <t>γ (gamma)</t>
  </si>
  <si>
    <t>α</t>
  </si>
  <si>
    <t>β</t>
  </si>
  <si>
    <t>Winkel der inneren Reibung, Reibungswinkel</t>
  </si>
  <si>
    <t>Wandneigung</t>
  </si>
  <si>
    <t>Böschungsneigung bzw. Neigung der Terrainoberfläche</t>
  </si>
  <si>
    <t>Bodengewicht (Effektives)</t>
  </si>
  <si>
    <t>wasserspiegelhöhe</t>
  </si>
  <si>
    <t>GWS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</si>
</sst>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#,##0.000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Arial Narrow"/>
      <family val="2"/>
    </font>
    <font>
      <b/>
      <i/>
      <sz val="12"/>
      <color rgb="FF000000"/>
      <name val="Arial Narrow"/>
      <family val="2"/>
    </font>
    <font>
      <b/>
      <i/>
      <sz val="8"/>
      <color rgb="FF000000"/>
      <name val="Arial Narrow"/>
      <family val="2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rgb="FF000000"/>
      <name val="-webkit-standard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3F3F3F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F3F3F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2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6" fillId="2" borderId="13" applyNumberFormat="0" applyAlignment="0" applyProtection="0"/>
    <xf numFmtId="0" fontId="7" fillId="3" borderId="14" applyNumberFormat="0" applyAlignment="0" applyProtection="0"/>
    <xf numFmtId="0" fontId="13" fillId="5" borderId="25" applyNumberFormat="0" applyFont="0" applyAlignment="0" applyProtection="0"/>
    <xf numFmtId="0" fontId="14" fillId="0" borderId="0" applyNumberFormat="0" applyFill="0" applyBorder="0" applyAlignment="0" applyProtection="0"/>
  </cellStyleXfs>
  <cellXfs count="9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10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3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0" fillId="0" borderId="18" xfId="0" applyBorder="1"/>
    <xf numFmtId="0" fontId="0" fillId="0" borderId="21" xfId="0" applyBorder="1"/>
    <xf numFmtId="0" fontId="12" fillId="3" borderId="24" xfId="2" applyFont="1" applyBorder="1"/>
    <xf numFmtId="0" fontId="8" fillId="0" borderId="0" xfId="0" applyFont="1"/>
    <xf numFmtId="0" fontId="9" fillId="0" borderId="22" xfId="0" applyFont="1" applyBorder="1"/>
    <xf numFmtId="0" fontId="0" fillId="7" borderId="26" xfId="1" applyNumberFormat="1" applyFont="1" applyFill="1" applyBorder="1" applyAlignment="1" applyProtection="1">
      <alignment horizontal="right" vertical="center"/>
      <protection locked="0"/>
    </xf>
    <xf numFmtId="0" fontId="0" fillId="2" borderId="27" xfId="1" applyNumberFormat="1" applyFont="1" applyBorder="1" applyAlignment="1" applyProtection="1">
      <alignment horizontal="right" vertical="center"/>
      <protection locked="0"/>
    </xf>
    <xf numFmtId="0" fontId="0" fillId="2" borderId="26" xfId="1" applyFont="1" applyBorder="1" applyAlignment="1" applyProtection="1">
      <alignment horizontal="right" vertical="center"/>
      <protection locked="0"/>
    </xf>
    <xf numFmtId="0" fontId="1" fillId="4" borderId="15" xfId="0" applyFont="1" applyFill="1" applyBorder="1"/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5" fillId="6" borderId="15" xfId="0" applyFont="1" applyFill="1" applyBorder="1" applyAlignment="1">
      <alignment horizontal="left"/>
    </xf>
    <xf numFmtId="0" fontId="15" fillId="6" borderId="16" xfId="0" applyFont="1" applyFill="1" applyBorder="1" applyAlignment="1">
      <alignment horizontal="center"/>
    </xf>
    <xf numFmtId="0" fontId="15" fillId="6" borderId="16" xfId="0" applyFont="1" applyFill="1" applyBorder="1"/>
    <xf numFmtId="0" fontId="15" fillId="6" borderId="16" xfId="0" applyFont="1" applyFill="1" applyBorder="1" applyProtection="1">
      <protection locked="0"/>
    </xf>
    <xf numFmtId="0" fontId="16" fillId="6" borderId="17" xfId="4" applyFont="1" applyFill="1" applyBorder="1" applyAlignment="1" applyProtection="1">
      <alignment horizontal="right"/>
    </xf>
    <xf numFmtId="0" fontId="17" fillId="0" borderId="0" xfId="0" applyFont="1"/>
    <xf numFmtId="0" fontId="0" fillId="2" borderId="29" xfId="1" applyFont="1" applyBorder="1" applyAlignment="1" applyProtection="1">
      <alignment horizontal="right" vertical="center"/>
      <protection locked="0"/>
    </xf>
    <xf numFmtId="0" fontId="1" fillId="0" borderId="23" xfId="0" applyFont="1" applyBorder="1" applyAlignment="1">
      <alignment horizontal="right"/>
    </xf>
    <xf numFmtId="0" fontId="1" fillId="0" borderId="15" xfId="0" applyFont="1" applyBorder="1" applyAlignment="1">
      <alignment horizontal="right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2" fontId="0" fillId="5" borderId="30" xfId="3" applyNumberFormat="1" applyFont="1" applyBorder="1" applyAlignment="1" applyProtection="1">
      <alignment horizontal="right" vertical="center"/>
    </xf>
    <xf numFmtId="0" fontId="0" fillId="2" borderId="32" xfId="1" applyFont="1" applyBorder="1" applyAlignment="1" applyProtection="1">
      <alignment horizontal="right" vertical="center"/>
      <protection locked="0"/>
    </xf>
    <xf numFmtId="0" fontId="1" fillId="4" borderId="15" xfId="0" applyFont="1" applyFill="1" applyBorder="1" applyAlignment="1">
      <alignment horizontal="center"/>
    </xf>
    <xf numFmtId="0" fontId="18" fillId="3" borderId="28" xfId="2" applyFont="1" applyBorder="1" applyProtection="1"/>
    <xf numFmtId="164" fontId="18" fillId="3" borderId="31" xfId="2" applyNumberFormat="1" applyFont="1" applyBorder="1" applyProtection="1"/>
    <xf numFmtId="0" fontId="0" fillId="0" borderId="12" xfId="0" applyBorder="1"/>
    <xf numFmtId="0" fontId="0" fillId="8" borderId="12" xfId="0" applyFill="1" applyBorder="1"/>
    <xf numFmtId="0" fontId="0" fillId="8" borderId="6" xfId="0" applyFill="1" applyBorder="1"/>
    <xf numFmtId="165" fontId="0" fillId="0" borderId="0" xfId="0" applyNumberFormat="1"/>
    <xf numFmtId="0" fontId="17" fillId="8" borderId="42" xfId="0" applyFont="1" applyFill="1" applyBorder="1" applyAlignment="1">
      <alignment horizontal="right"/>
    </xf>
    <xf numFmtId="0" fontId="17" fillId="0" borderId="42" xfId="0" applyFont="1" applyBorder="1" applyAlignment="1">
      <alignment horizontal="right"/>
    </xf>
    <xf numFmtId="0" fontId="0" fillId="0" borderId="43" xfId="0" applyBorder="1"/>
    <xf numFmtId="0" fontId="0" fillId="0" borderId="44" xfId="0" applyBorder="1"/>
    <xf numFmtId="165" fontId="0" fillId="0" borderId="21" xfId="0" applyNumberFormat="1" applyBorder="1"/>
    <xf numFmtId="165" fontId="0" fillId="0" borderId="0" xfId="0" applyNumberFormat="1" applyAlignment="1">
      <alignment horizontal="right"/>
    </xf>
    <xf numFmtId="165" fontId="0" fillId="8" borderId="0" xfId="0" applyNumberFormat="1" applyFill="1" applyAlignment="1">
      <alignment horizontal="right"/>
    </xf>
    <xf numFmtId="165" fontId="1" fillId="0" borderId="0" xfId="0" applyNumberFormat="1" applyFont="1" applyAlignment="1">
      <alignment horizontal="right"/>
    </xf>
    <xf numFmtId="165" fontId="1" fillId="8" borderId="0" xfId="0" applyNumberFormat="1" applyFont="1" applyFill="1" applyAlignment="1">
      <alignment horizontal="right"/>
    </xf>
    <xf numFmtId="0" fontId="17" fillId="8" borderId="21" xfId="0" applyFont="1" applyFill="1" applyBorder="1" applyAlignment="1">
      <alignment horizontal="right"/>
    </xf>
    <xf numFmtId="0" fontId="17" fillId="0" borderId="21" xfId="0" applyFont="1" applyBorder="1" applyAlignment="1">
      <alignment horizontal="right"/>
    </xf>
    <xf numFmtId="0" fontId="0" fillId="7" borderId="45" xfId="1" applyNumberFormat="1" applyFont="1" applyFill="1" applyBorder="1" applyAlignment="1" applyProtection="1">
      <alignment horizontal="right" vertical="center"/>
      <protection locked="0"/>
    </xf>
    <xf numFmtId="0" fontId="0" fillId="2" borderId="46" xfId="1" applyFont="1" applyBorder="1" applyAlignment="1" applyProtection="1">
      <alignment horizontal="right" vertical="center"/>
      <protection locked="0"/>
    </xf>
    <xf numFmtId="0" fontId="0" fillId="7" borderId="46" xfId="1" applyNumberFormat="1" applyFont="1" applyFill="1" applyBorder="1" applyAlignment="1" applyProtection="1">
      <alignment horizontal="right" vertical="center"/>
      <protection locked="0"/>
    </xf>
    <xf numFmtId="0" fontId="19" fillId="5" borderId="39" xfId="3" applyFont="1" applyBorder="1" applyAlignment="1" applyProtection="1">
      <alignment horizontal="left" vertical="center"/>
    </xf>
    <xf numFmtId="0" fontId="19" fillId="5" borderId="40" xfId="3" applyFont="1" applyBorder="1" applyAlignment="1" applyProtection="1">
      <alignment horizontal="left" vertical="center"/>
    </xf>
    <xf numFmtId="0" fontId="19" fillId="5" borderId="34" xfId="3" applyFont="1" applyBorder="1" applyAlignment="1" applyProtection="1">
      <alignment horizontal="left" vertical="center"/>
    </xf>
    <xf numFmtId="0" fontId="19" fillId="5" borderId="35" xfId="3" applyFont="1" applyBorder="1" applyAlignment="1" applyProtection="1">
      <alignment horizontal="left" vertical="center"/>
    </xf>
    <xf numFmtId="0" fontId="1" fillId="10" borderId="15" xfId="0" applyFont="1" applyFill="1" applyBorder="1" applyAlignment="1">
      <alignment horizontal="left"/>
    </xf>
    <xf numFmtId="0" fontId="1" fillId="10" borderId="16" xfId="0" applyFont="1" applyFill="1" applyBorder="1" applyAlignment="1">
      <alignment horizontal="left"/>
    </xf>
    <xf numFmtId="0" fontId="1" fillId="10" borderId="17" xfId="0" applyFont="1" applyFill="1" applyBorder="1" applyAlignment="1">
      <alignment horizontal="left"/>
    </xf>
    <xf numFmtId="0" fontId="1" fillId="10" borderId="18" xfId="0" applyFont="1" applyFill="1" applyBorder="1" applyAlignment="1">
      <alignment horizontal="left"/>
    </xf>
    <xf numFmtId="0" fontId="1" fillId="10" borderId="19" xfId="0" applyFont="1" applyFill="1" applyBorder="1" applyAlignment="1">
      <alignment horizontal="left"/>
    </xf>
    <xf numFmtId="0" fontId="1" fillId="10" borderId="20" xfId="0" applyFont="1" applyFill="1" applyBorder="1" applyAlignment="1">
      <alignment horizontal="left"/>
    </xf>
    <xf numFmtId="0" fontId="19" fillId="5" borderId="15" xfId="3" applyFont="1" applyBorder="1" applyAlignment="1" applyProtection="1">
      <alignment horizontal="left" vertical="center"/>
    </xf>
    <xf numFmtId="0" fontId="19" fillId="5" borderId="16" xfId="3" applyFont="1" applyBorder="1" applyAlignment="1" applyProtection="1">
      <alignment horizontal="left" vertical="center"/>
    </xf>
    <xf numFmtId="0" fontId="19" fillId="5" borderId="17" xfId="3" applyFont="1" applyBorder="1" applyAlignment="1" applyProtection="1">
      <alignment horizontal="left" vertical="center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10" borderId="18" xfId="0" applyFont="1" applyFill="1" applyBorder="1" applyAlignment="1">
      <alignment horizontal="left" wrapText="1"/>
    </xf>
    <xf numFmtId="0" fontId="19" fillId="5" borderId="36" xfId="3" applyFont="1" applyBorder="1" applyAlignment="1" applyProtection="1">
      <alignment horizontal="left" vertical="center"/>
    </xf>
    <xf numFmtId="0" fontId="19" fillId="5" borderId="37" xfId="3" applyFont="1" applyBorder="1" applyAlignment="1" applyProtection="1">
      <alignment horizontal="left" vertical="center"/>
    </xf>
    <xf numFmtId="0" fontId="19" fillId="5" borderId="38" xfId="3" applyFont="1" applyBorder="1" applyAlignment="1" applyProtection="1">
      <alignment horizontal="left" vertical="center"/>
    </xf>
    <xf numFmtId="0" fontId="19" fillId="9" borderId="36" xfId="3" applyFont="1" applyFill="1" applyBorder="1" applyAlignment="1" applyProtection="1">
      <alignment horizontal="left" vertical="center"/>
    </xf>
    <xf numFmtId="0" fontId="19" fillId="9" borderId="37" xfId="3" applyFont="1" applyFill="1" applyBorder="1" applyAlignment="1" applyProtection="1">
      <alignment horizontal="left" vertical="center"/>
    </xf>
    <xf numFmtId="0" fontId="19" fillId="9" borderId="38" xfId="3" applyFont="1" applyFill="1" applyBorder="1" applyAlignment="1" applyProtection="1">
      <alignment horizontal="left" vertical="center"/>
    </xf>
    <xf numFmtId="0" fontId="19" fillId="5" borderId="33" xfId="3" applyFont="1" applyBorder="1" applyAlignment="1" applyProtection="1">
      <alignment horizontal="left" vertical="center"/>
    </xf>
    <xf numFmtId="0" fontId="19" fillId="5" borderId="41" xfId="3" applyFont="1" applyBorder="1" applyAlignment="1" applyProtection="1">
      <alignment horizontal="left" vertical="center"/>
    </xf>
    <xf numFmtId="1" fontId="0" fillId="0" borderId="10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</cellXfs>
  <cellStyles count="5">
    <cellStyle name="Ausgabe" xfId="2" builtinId="21"/>
    <cellStyle name="Eingabe" xfId="1" builtinId="20"/>
    <cellStyle name="Link" xfId="4" builtinId="8"/>
    <cellStyle name="Notiz" xfId="3" builtinId="10"/>
    <cellStyle name="Standard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color theme="6" tint="-0.24994659260841701"/>
      </font>
    </dxf>
    <dxf>
      <font>
        <color theme="5" tint="-0.2499465926084170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 baseline="0"/>
              <a:t>Querkraft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CH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Erdruck schräge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Tabelle1!$B$8:$C$8</c:f>
              <c:numCache>
                <c:formatCode>#,##0.000</c:formatCode>
                <c:ptCount val="2"/>
                <c:pt idx="0">
                  <c:v>-2.480588203494178</c:v>
                </c:pt>
                <c:pt idx="1">
                  <c:v>44.879411796505821</c:v>
                </c:pt>
              </c:numCache>
            </c:numRef>
          </c:xVal>
          <c:yVal>
            <c:numRef>
              <c:f>Tabelle1!$B$7:$C$7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209-4EC1-8D7C-5719DA73D90F}"/>
            </c:ext>
          </c:extLst>
        </c:ser>
        <c:ser>
          <c:idx val="1"/>
          <c:order val="1"/>
          <c:tx>
            <c:v>Vertikale Linie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Tabelle1!$B$11:$C$11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Tabelle1!$B$10:$C$10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209-4EC1-8D7C-5719DA73D90F}"/>
            </c:ext>
          </c:extLst>
        </c:ser>
        <c:ser>
          <c:idx val="2"/>
          <c:order val="2"/>
          <c:tx>
            <c:v>eaH z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12700">
                <a:solidFill>
                  <a:schemeClr val="tx1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Ref>
              <c:f>Tabelle1!$B$19</c:f>
              <c:numCache>
                <c:formatCode>General</c:formatCode>
                <c:ptCount val="1"/>
                <c:pt idx="0">
                  <c:v>0.41901827761725979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73-45FD-9EC8-32E34446642B}"/>
            </c:ext>
          </c:extLst>
        </c:ser>
        <c:ser>
          <c:idx val="3"/>
          <c:order val="3"/>
          <c:tx>
            <c:v>unten strich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Tabelle1!$B$14:$C$14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44.879411796505821</c:v>
                </c:pt>
              </c:numCache>
            </c:numRef>
          </c:xVal>
          <c:yVal>
            <c:numRef>
              <c:f>Tabelle1!$B$13:$C$13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73-45FD-9EC8-32E34446642B}"/>
            </c:ext>
          </c:extLst>
        </c:ser>
        <c:ser>
          <c:idx val="4"/>
          <c:order val="4"/>
          <c:tx>
            <c:v>oben strich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Tabelle1!$B$16:$C$16</c:f>
              <c:numCache>
                <c:formatCode>General</c:formatCode>
                <c:ptCount val="2"/>
                <c:pt idx="0" formatCode="#,##0.000">
                  <c:v>-2.480588203494178</c:v>
                </c:pt>
                <c:pt idx="1">
                  <c:v>0</c:v>
                </c:pt>
              </c:numCache>
            </c:numRef>
          </c:xVal>
          <c:yVal>
            <c:numRef>
              <c:f>Tabelle1!$B$17:$C$17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373-45FD-9EC8-32E344466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5647"/>
        <c:axId val="56689967"/>
      </c:scatterChart>
      <c:valAx>
        <c:axId val="5668564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kN/m²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67"/>
        <c:crosses val="autoZero"/>
        <c:crossBetween val="midCat"/>
      </c:valAx>
      <c:valAx>
        <c:axId val="566899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Höhe 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Schnitt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Höhe und Tiefe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Tabelle1!$B$1:$C$1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Tabelle1!$B$1:$C$1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460-4318-B1E6-66D32540ED0D}"/>
            </c:ext>
          </c:extLst>
        </c:ser>
        <c:ser>
          <c:idx val="0"/>
          <c:order val="1"/>
          <c:tx>
            <c:v>stützmauer</c:v>
          </c:tx>
          <c:spPr>
            <a:ln w="63500" cap="rnd" cmpd="sng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Tabelle1!$B$2:$C$2</c:f>
              <c:numCache>
                <c:formatCode>General</c:formatCode>
                <c:ptCount val="2"/>
                <c:pt idx="0">
                  <c:v>0</c:v>
                </c:pt>
                <c:pt idx="1">
                  <c:v>1.4106158456677198</c:v>
                </c:pt>
              </c:numCache>
            </c:numRef>
          </c:xVal>
          <c:yVal>
            <c:numRef>
              <c:f>Tabelle1!$B$3:$C$3</c:f>
              <c:numCache>
                <c:formatCode>General</c:formatCode>
                <c:ptCount val="2"/>
                <c:pt idx="0">
                  <c:v>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60-4318-B1E6-66D32540ED0D}"/>
            </c:ext>
          </c:extLst>
        </c:ser>
        <c:ser>
          <c:idx val="2"/>
          <c:order val="2"/>
          <c:tx>
            <c:v>neigung hinterfüllung</c:v>
          </c:tx>
          <c:spPr>
            <a:ln w="25400" cap="rnd" cmpd="sng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Tabelle1!$B$4:$C$4</c:f>
              <c:numCache>
                <c:formatCode>General</c:formatCode>
                <c:ptCount val="2"/>
                <c:pt idx="0">
                  <c:v>1.4106158456677198</c:v>
                </c:pt>
                <c:pt idx="1">
                  <c:v>8</c:v>
                </c:pt>
              </c:numCache>
            </c:numRef>
          </c:xVal>
          <c:yVal>
            <c:numRef>
              <c:f>Tabelle1!$B$5:$C$5</c:f>
              <c:numCache>
                <c:formatCode>General</c:formatCode>
                <c:ptCount val="2"/>
                <c:pt idx="0">
                  <c:v>0</c:v>
                </c:pt>
                <c:pt idx="1">
                  <c:v>-1.4106158456677198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460-4318-B1E6-66D32540E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5647"/>
        <c:axId val="56689967"/>
      </c:scatterChart>
      <c:valAx>
        <c:axId val="5668564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Tiefe 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67"/>
        <c:crosses val="autoZero"/>
        <c:crossBetween val="midCat"/>
      </c:valAx>
      <c:valAx>
        <c:axId val="566899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Höhe iin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1496738</xdr:colOff>
      <xdr:row>33</xdr:row>
      <xdr:rowOff>71718</xdr:rowOff>
    </xdr:from>
    <xdr:to>
      <xdr:col>6</xdr:col>
      <xdr:colOff>788894</xdr:colOff>
      <xdr:row>58</xdr:row>
      <xdr:rowOff>116540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BBCCEB31-32FD-E178-F76D-8E0634F332F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62081</xdr:colOff>
      <xdr:row>33</xdr:row>
      <xdr:rowOff>87637</xdr:rowOff>
    </xdr:from>
    <xdr:to>
      <xdr:col>3</xdr:col>
      <xdr:colOff>823093</xdr:colOff>
      <xdr:row>57</xdr:row>
      <xdr:rowOff>104578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CFB0E727-A0F1-4EB4-A838-BB90C0AE422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711200</xdr:colOff>
      <xdr:row>20</xdr:row>
      <xdr:rowOff>63500</xdr:rowOff>
    </xdr:from>
    <xdr:to>
      <xdr:col>6</xdr:col>
      <xdr:colOff>391548</xdr:colOff>
      <xdr:row>36</xdr:row>
      <xdr:rowOff>177800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A329899-EA71-46C1-95C8-49E22239D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1200" y="3492500"/>
          <a:ext cx="7264400" cy="31623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7E511B-74A4-F541-9F33-03BA4AF4979A}" name="Tabelle1" displayName="Tabelle1" ref="A7:C10" totalsRowShown="0" headerRowDxfId="4" dataDxfId="3">
  <autoFilter ref="A7:C10" xr:uid="{707E511B-74A4-F541-9F33-03BA4AF4979A}"/>
  <tableColumns count="3">
    <tableColumn id="1" xr3:uid="{7477F713-430B-9E4B-9400-C343B7AFA31B}" name="Beschreibung" dataDxfId="2"/>
    <tableColumn id="2" xr3:uid="{7B48791E-28B8-A242-9E4D-EA858C9957E5}" name="δ in Bezug auf φ" dataDxfId="1"/>
    <tableColumn id="3" xr3:uid="{3ACBA7E2-23D9-0D43-A8A4-6130C1A6E15E}" name="Beispie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2A206-6639-7349-B537-FFA4C1DEA640}">
  <sheetPr codeName="Tabelle1"/>
  <dimension ref="A1:S59"/>
  <sheetViews>
    <sheetView showGridLines="0" tabSelected="1" topLeftCell="A12" zoomScale="85" zoomScaleNormal="85" workbookViewId="0">
      <selection activeCell="H7" sqref="H7"/>
    </sheetView>
  </sheetViews>
  <sheetFormatPr baseColWidth="10" defaultColWidth="11.5546875" defaultRowHeight="14.4"/>
  <cols>
    <col min="1" max="1" width="8" customWidth="1"/>
    <col min="2" max="2" width="1.88671875" customWidth="1"/>
    <col min="3" max="3" width="51.88671875" customWidth="1"/>
    <col min="4" max="4" width="28.33203125" customWidth="1"/>
    <col min="5" max="5" width="15" customWidth="1"/>
    <col min="6" max="6" width="19.33203125" customWidth="1"/>
    <col min="7" max="7" width="14.5546875" customWidth="1"/>
    <col min="14" max="14" width="85.109375" customWidth="1"/>
    <col min="16" max="16" width="19.21875" customWidth="1"/>
  </cols>
  <sheetData>
    <row r="1" spans="1:19" ht="18.600000000000001" thickBot="1">
      <c r="A1" s="27" t="s">
        <v>69</v>
      </c>
      <c r="B1" s="28"/>
      <c r="C1" s="28"/>
      <c r="D1" s="28"/>
      <c r="E1" s="29"/>
      <c r="F1" s="29"/>
      <c r="G1" s="30"/>
      <c r="H1" s="29"/>
      <c r="I1" s="29"/>
      <c r="J1" s="31" t="s">
        <v>44</v>
      </c>
      <c r="K1" s="32"/>
      <c r="L1" s="14"/>
      <c r="M1" s="14" t="s">
        <v>45</v>
      </c>
      <c r="N1" s="14" t="s">
        <v>46</v>
      </c>
      <c r="O1" s="14" t="s">
        <v>47</v>
      </c>
      <c r="P1" s="14" t="s">
        <v>48</v>
      </c>
      <c r="Q1" s="14" t="s">
        <v>49</v>
      </c>
      <c r="R1" s="14" t="s">
        <v>50</v>
      </c>
      <c r="S1" s="14" t="s">
        <v>51</v>
      </c>
    </row>
    <row r="2" spans="1:19" ht="15" thickBot="1"/>
    <row r="3" spans="1:19" ht="15" thickBot="1">
      <c r="B3" s="67" t="s">
        <v>70</v>
      </c>
      <c r="C3" s="68"/>
      <c r="D3" s="68"/>
      <c r="E3" s="68"/>
      <c r="F3" s="69"/>
    </row>
    <row r="4" spans="1:19" ht="15" thickBot="1">
      <c r="B4" s="24"/>
      <c r="C4" s="25" t="s">
        <v>22</v>
      </c>
      <c r="D4" s="25" t="s">
        <v>62</v>
      </c>
      <c r="E4" s="25" t="s">
        <v>53</v>
      </c>
      <c r="F4" s="26" t="s">
        <v>43</v>
      </c>
    </row>
    <row r="5" spans="1:19">
      <c r="C5" s="16" t="s">
        <v>41</v>
      </c>
      <c r="D5" s="22" t="s">
        <v>19</v>
      </c>
      <c r="E5" s="36"/>
      <c r="F5" s="37"/>
    </row>
    <row r="6" spans="1:19">
      <c r="C6" s="17" t="s">
        <v>108</v>
      </c>
      <c r="D6" s="21">
        <v>27.5</v>
      </c>
      <c r="E6" s="13" t="s">
        <v>39</v>
      </c>
      <c r="F6" s="20"/>
    </row>
    <row r="7" spans="1:19">
      <c r="C7" s="17" t="s">
        <v>109</v>
      </c>
      <c r="D7" s="23">
        <v>10</v>
      </c>
      <c r="E7" s="13" t="s">
        <v>106</v>
      </c>
      <c r="F7" s="38"/>
    </row>
    <row r="8" spans="1:19">
      <c r="C8" s="17" t="s">
        <v>110</v>
      </c>
      <c r="D8" s="21">
        <v>10</v>
      </c>
      <c r="E8" s="13" t="s">
        <v>107</v>
      </c>
      <c r="F8" s="38"/>
    </row>
    <row r="9" spans="1:19" ht="16.2" thickBot="1">
      <c r="C9" s="39" t="s">
        <v>40</v>
      </c>
      <c r="D9" s="33" t="s">
        <v>25</v>
      </c>
      <c r="E9" s="18" t="str">
        <f>VLOOKUP(D9,Tabelle1[],2,FALSE)</f>
        <v>2/3 φ</v>
      </c>
      <c r="F9" s="40" t="str">
        <f>VLOOKUP(D9,Tabelle1[],3,FALSE)</f>
        <v>z.B. Beton</v>
      </c>
    </row>
    <row r="10" spans="1:19" ht="16.2" thickBot="1">
      <c r="C10" s="34" t="s">
        <v>42</v>
      </c>
      <c r="D10" s="43" cm="1">
        <f t="array" ref="D10">GetKahValue(D7, D8, D6, E9, D5)</f>
        <v>0.29599999999999999</v>
      </c>
    </row>
    <row r="11" spans="1:19" ht="15" thickBot="1">
      <c r="B11" s="70" t="s">
        <v>52</v>
      </c>
      <c r="C11" s="71" t="s">
        <v>52</v>
      </c>
      <c r="D11" s="71"/>
      <c r="E11" s="71"/>
      <c r="F11" s="72"/>
    </row>
    <row r="12" spans="1:19" ht="15" thickBot="1">
      <c r="B12" s="24"/>
      <c r="C12" s="25" t="s">
        <v>22</v>
      </c>
      <c r="D12" s="25" t="s">
        <v>62</v>
      </c>
      <c r="E12" s="76" t="s">
        <v>64</v>
      </c>
      <c r="F12" s="76"/>
      <c r="G12" s="77"/>
    </row>
    <row r="13" spans="1:19" ht="15" thickBot="1">
      <c r="C13" s="17" t="s">
        <v>18</v>
      </c>
      <c r="D13" s="41">
        <v>22.5</v>
      </c>
    </row>
    <row r="14" spans="1:19" ht="16.2" thickBot="1">
      <c r="C14" s="35" t="s">
        <v>42</v>
      </c>
      <c r="D14" s="44">
        <f>1 - SIN(RADIANS(D13))</f>
        <v>0.61731656763491016</v>
      </c>
      <c r="E14" s="73" t="str">
        <f>"= 1 − sin(" &amp; D13 &amp; "°) = 1 − " &amp; TEXT(SIN(RADIANS(D13)),"0.000") &amp; " = " &amp; TEXT(1-SIN(RADIANS(D13)),"0.000")</f>
        <v>= 1 − sin(22.5°) = 1 − 0.383 = 0.617</v>
      </c>
      <c r="F14" s="74"/>
      <c r="G14" s="75"/>
    </row>
    <row r="16" spans="1:19" ht="15" thickBot="1"/>
    <row r="17" spans="2:18" ht="15" thickBot="1">
      <c r="B17" s="78" t="s">
        <v>83</v>
      </c>
      <c r="C17" s="71" t="s">
        <v>52</v>
      </c>
      <c r="D17" s="71"/>
      <c r="E17" s="71"/>
      <c r="F17" s="72"/>
    </row>
    <row r="18" spans="2:18" ht="15" thickBot="1">
      <c r="B18" s="42"/>
      <c r="C18" s="25" t="s">
        <v>22</v>
      </c>
      <c r="D18" s="25" t="s">
        <v>62</v>
      </c>
      <c r="E18" s="25" t="s">
        <v>53</v>
      </c>
      <c r="F18" s="25" t="s">
        <v>61</v>
      </c>
      <c r="G18" s="76" t="s">
        <v>64</v>
      </c>
      <c r="H18" s="76"/>
      <c r="I18" s="76"/>
      <c r="J18" s="76"/>
      <c r="K18" s="76"/>
      <c r="L18" s="76"/>
      <c r="M18" s="76"/>
      <c r="N18" s="77"/>
    </row>
    <row r="19" spans="2:18">
      <c r="C19" s="58" t="s">
        <v>54</v>
      </c>
      <c r="D19" s="60">
        <v>8</v>
      </c>
      <c r="E19" s="47" t="s">
        <v>56</v>
      </c>
      <c r="F19" s="47" t="s">
        <v>65</v>
      </c>
      <c r="G19" s="36"/>
      <c r="H19" s="36"/>
      <c r="I19" s="36"/>
      <c r="J19" s="36"/>
      <c r="K19" s="36"/>
      <c r="L19" s="36"/>
      <c r="M19" s="36"/>
      <c r="N19" s="37"/>
    </row>
    <row r="20" spans="2:18">
      <c r="C20" s="59" t="s">
        <v>103</v>
      </c>
      <c r="D20" s="61"/>
      <c r="E20" s="6" t="s">
        <v>113</v>
      </c>
      <c r="F20" s="6" t="s">
        <v>65</v>
      </c>
      <c r="N20" s="38"/>
    </row>
    <row r="21" spans="2:18">
      <c r="C21" s="58" t="s">
        <v>102</v>
      </c>
      <c r="D21" s="62">
        <v>20</v>
      </c>
      <c r="E21" s="47" t="s">
        <v>105</v>
      </c>
      <c r="F21" s="47" t="s">
        <v>66</v>
      </c>
      <c r="N21" s="38"/>
    </row>
    <row r="22" spans="2:18">
      <c r="C22" s="59" t="s">
        <v>100</v>
      </c>
      <c r="D22" s="61"/>
      <c r="E22" s="6" t="s">
        <v>99</v>
      </c>
      <c r="F22" s="6" t="s">
        <v>66</v>
      </c>
      <c r="N22" s="38"/>
    </row>
    <row r="23" spans="2:18">
      <c r="C23" s="49" t="s">
        <v>111</v>
      </c>
      <c r="D23" s="55" t="str">
        <f>IF(ISNUMBER(D22), D22 - 10, "-")</f>
        <v>-</v>
      </c>
      <c r="E23" s="46" t="s">
        <v>101</v>
      </c>
      <c r="F23" s="47" t="s">
        <v>66</v>
      </c>
      <c r="N23" s="38"/>
    </row>
    <row r="24" spans="2:18">
      <c r="C24" s="50" t="s">
        <v>104</v>
      </c>
      <c r="D24" s="54">
        <f>D10</f>
        <v>0.29599999999999999</v>
      </c>
      <c r="E24" s="45" t="s">
        <v>55</v>
      </c>
      <c r="F24" s="6" t="s">
        <v>63</v>
      </c>
      <c r="N24" s="38"/>
    </row>
    <row r="25" spans="2:18">
      <c r="C25" s="49" t="s">
        <v>57</v>
      </c>
      <c r="D25" s="62">
        <v>10</v>
      </c>
      <c r="E25" s="46" t="s">
        <v>58</v>
      </c>
      <c r="F25" s="47" t="s">
        <v>67</v>
      </c>
      <c r="N25" s="38"/>
    </row>
    <row r="26" spans="2:18">
      <c r="C26" s="50" t="s">
        <v>59</v>
      </c>
      <c r="D26" s="61">
        <v>5</v>
      </c>
      <c r="E26" s="45" t="s">
        <v>60</v>
      </c>
      <c r="F26" s="6" t="s">
        <v>67</v>
      </c>
      <c r="N26" s="38"/>
    </row>
    <row r="27" spans="2:18">
      <c r="C27" s="49" t="s">
        <v>71</v>
      </c>
      <c r="D27" s="55">
        <f>IF(OR(D19="",D21="",D24=""),"-",IF(OR(D20="",D20=0),0.5*D19^2*D21*D24,0.5*D20^2*D21*D24+0.5*(D19-D20)^2*D23*D24+D20*(D19-D20)*D23*D24))</f>
        <v>189.44</v>
      </c>
      <c r="E27" s="46" t="s">
        <v>74</v>
      </c>
      <c r="F27" s="47" t="s">
        <v>68</v>
      </c>
      <c r="G27" s="85" t="str">
        <f>IF(OR(D19="",D21="",D24=""),"-",IF(OR(D20="",D20=0),"0.5 · " &amp; D19 &amp; "² m² · " &amp; D21 &amp; " kN/m³ · " &amp; D24 &amp; " = " &amp; TEXT(D27,"0.00") &amp; " kN/m","0.5 · " &amp; D20 &amp; "² m² · " &amp; D21 &amp; " kN/m³ · " &amp; D24 &amp; " + 0.5 · (" &amp; D19 &amp; "−" &amp; D20 &amp; ")² m² · " &amp; D23 &amp; " kN/m³ · " &amp; D24 &amp; " + " &amp; D20 &amp; " m · (" &amp; D19 &amp; "−" &amp; D20 &amp; ") m · " &amp; D23 &amp; " kN/m³ · " &amp; D24 &amp; " = " &amp; TEXT(D27,"0.00") &amp; " kN/m"))</f>
        <v>0.5 · 8² m² · 20 kN/m³ · 0.296 = 189.44 kN/m</v>
      </c>
      <c r="H27" s="65"/>
      <c r="I27" s="65"/>
      <c r="J27" s="65"/>
      <c r="K27" s="65"/>
      <c r="L27" s="65"/>
      <c r="M27" s="65"/>
      <c r="N27" s="66"/>
    </row>
    <row r="28" spans="2:18">
      <c r="C28" s="50" t="s">
        <v>72</v>
      </c>
      <c r="D28" s="56">
        <f>IF(OR(D19="",D25="",D24=""),"-",D25*D19*D24)</f>
        <v>23.68</v>
      </c>
      <c r="E28" s="45" t="s">
        <v>75</v>
      </c>
      <c r="F28" s="6" t="s">
        <v>68</v>
      </c>
      <c r="G28" s="82" t="str">
        <f>IF(OR(D19="",D25="",D24=""),"-",D25 &amp; " kN/m² · " &amp; D19 &amp; " m · " &amp; D24 &amp; " = " &amp; TEXT(D28,"0.00") &amp; " kN/m")</f>
        <v>10 kN/m² · 8 m · 0.296 = 23.68 kN/m</v>
      </c>
      <c r="H28" s="83"/>
      <c r="I28" s="83"/>
      <c r="J28" s="83"/>
      <c r="K28" s="83"/>
      <c r="L28" s="83"/>
      <c r="M28" s="83"/>
      <c r="N28" s="84"/>
      <c r="Q28" s="48"/>
      <c r="R28" s="48"/>
    </row>
    <row r="29" spans="2:18">
      <c r="C29" s="49" t="s">
        <v>73</v>
      </c>
      <c r="D29" s="55">
        <f>IF(OR(D19="",D26="",D24="",D26=0),"-",2*D26*D19*SQRT(D24))</f>
        <v>43.524705627953423</v>
      </c>
      <c r="E29" s="46"/>
      <c r="F29" s="47" t="s">
        <v>68</v>
      </c>
      <c r="G29" s="63" t="str">
        <f>IF(OR(D19="",D26="",D24="",D26=0),"-","2 · " &amp; D26 &amp; " kN/m² · " &amp; D19 &amp; " m · √" &amp; D24 &amp; " = " &amp; TEXT(D29,"0.00") &amp; " kN/m")</f>
        <v>2 · 5 kN/m² · 8 m · √0.296 = 43.52 kN/m</v>
      </c>
      <c r="H29" s="64"/>
      <c r="I29" s="64"/>
      <c r="J29" s="64"/>
      <c r="K29" s="64"/>
      <c r="L29" s="64"/>
      <c r="M29" s="64"/>
      <c r="N29" s="86"/>
    </row>
    <row r="30" spans="2:18">
      <c r="C30" s="50" t="s">
        <v>78</v>
      </c>
      <c r="D30" s="56">
        <f>IF(OR(D19="",D21="",D24="",D25="",D26=""),"-",IF(OR(D20="",D20=0), 0.5*D19^2*D21*D24 + D25*D19*D24 - 2*D26*D19*SQRT(D24), 0.5*D20^2*D21*D24 + 0.5*(D19-D20)^2*D23*D24 + D20*(D19-D20)*D23*D24 + D25*D19*D24 - 2*D26*D19*SQRT(D24) + 10*(D19-D20)))</f>
        <v>169.59529437204657</v>
      </c>
      <c r="E30" s="45" t="s">
        <v>84</v>
      </c>
      <c r="F30" s="6" t="s">
        <v>68</v>
      </c>
      <c r="G30" s="82" t="str">
        <f>IF(OR(D19="",D21="",D24="",D25="",D26=""),"-",IF(OR(D20="",D20=0),"½ · " &amp; D19 &amp; "² m² · " &amp; D21 &amp; " kN/m³ · " &amp; D24 &amp; " + " &amp; D25 &amp; " kN/m² · " &amp; D19 &amp; " m · " &amp; D24 &amp; IF(OR(D26="",D26=0),""," − 2 · " &amp; D26 &amp; " kN/m² · " &amp; D19 &amp; " m · √" &amp; D24) &amp; " = " &amp; TEXT(D30,"0.00") &amp; " kN/m","½ · " &amp; D20 &amp; "² m² · " &amp; D21 &amp; " kN/m³ · " &amp; D24 &amp; " + ½ · (" &amp; D19 &amp; "−" &amp; D20 &amp; ")² m² · " &amp; D23 &amp; " kN/m³ · " &amp; D24 &amp; " + " &amp; D20 &amp; " m · (" &amp; D19 &amp; "−" &amp; D20 &amp; ") m · " &amp; D23 &amp; " kN/m³ · " &amp; D24 &amp; " + " &amp; D25 &amp; " kN/m² · " &amp; D19 &amp; " m · " &amp; D24 &amp; " − 2 · " &amp; D26 &amp; " kN/m² · " &amp; D19 &amp; " m · √" &amp; D24 &amp; " + 10 kN/m³ · (" &amp; D19 &amp; "−" &amp; D20 &amp; ") = " &amp; TEXT(D30,"0.00") &amp; " kN/m"))</f>
        <v>½ · 8² m² · 20 kN/m³ · 0.296 + 10 kN/m² · 8 m · 0.296 − 2 · 5 kN/m² · 8 m · √0.296 = 169.60 kN/m</v>
      </c>
      <c r="H30" s="83"/>
      <c r="I30" s="83"/>
      <c r="J30" s="83"/>
      <c r="K30" s="83"/>
      <c r="L30" s="83"/>
      <c r="M30" s="83"/>
      <c r="N30" s="84"/>
    </row>
    <row r="31" spans="2:18">
      <c r="C31" s="49" t="s">
        <v>81</v>
      </c>
      <c r="D31" s="55">
        <f>D25*D24 - 2*D26*SQRT(D24)</f>
        <v>-2.480588203494178</v>
      </c>
      <c r="E31" s="46" t="s">
        <v>79</v>
      </c>
      <c r="F31" s="47" t="s">
        <v>67</v>
      </c>
      <c r="G31" s="79" t="str">
        <f>IF(OR(D24="",D25="",D26=""),"-",D25 &amp; " kN/m² · " &amp; D24 &amp; " − 2 · " &amp; D26 &amp; " kN/m² · √" &amp; D24 &amp; " = " &amp; TEXT(D31,"0.00") &amp; " kN/m²")</f>
        <v>10 kN/m² · 0.296 − 2 · 5 kN/m² · √0.296 = -2.48 kN/m²</v>
      </c>
      <c r="H31" s="80"/>
      <c r="I31" s="80"/>
      <c r="J31" s="80"/>
      <c r="K31" s="80"/>
      <c r="L31" s="80"/>
      <c r="M31" s="80"/>
      <c r="N31" s="81"/>
    </row>
    <row r="32" spans="2:18">
      <c r="C32" s="50" t="s">
        <v>82</v>
      </c>
      <c r="D32" s="54">
        <f>IF(OR(D20="",ISERROR(D20)),D21*D19*D24 + D25*D24 - 2*D26*SQRT(D24),D23*D19*D24 + D25*D24 - 2*D26*SQRT(D24) + 10*(D19-D20))</f>
        <v>44.879411796505821</v>
      </c>
      <c r="E32" s="45" t="s">
        <v>80</v>
      </c>
      <c r="F32" s="6" t="s">
        <v>67</v>
      </c>
      <c r="G32" s="82" t="str">
        <f>IF(OR(D19="",D24="",D25="",D26=""),"-",IF(OR(D20="",ISERROR(D20)),D21 &amp; " kN/m³ · " &amp; D19 &amp; " m · " &amp; D24 &amp; " + " &amp; D25 &amp; " kN/m² · " &amp; D24 &amp; " − 2 · " &amp; D26 &amp; " kN/m² · √" &amp; D24 &amp; " = " &amp; TEXT(D32,"0.00") &amp; " kN/m²",D23 &amp; " kN/m³ · " &amp; D19 &amp; " m · " &amp; D24 &amp; " + " &amp; D25 &amp; " kN/m² · " &amp; D24 &amp; " − 2 · " &amp; D26 &amp; " kN/m² · √" &amp; D24 &amp; " + 10 kN/m³ · (" &amp; D19 &amp; " − " &amp; D20 &amp; ") = " &amp; TEXT(D32,"0.00") &amp; " kN/m²"))</f>
        <v>20 kN/m³ · 8 m · 0.296 + 10 kN/m² · 0.296 − 2 · 5 kN/m² · √0.296 = 44.88 kN/m²</v>
      </c>
      <c r="H32" s="83"/>
      <c r="I32" s="83"/>
      <c r="J32" s="83"/>
      <c r="K32" s="83"/>
      <c r="L32" s="83"/>
      <c r="M32" s="83"/>
      <c r="N32" s="84"/>
    </row>
    <row r="33" spans="3:18" ht="15" thickBot="1">
      <c r="C33" s="49" t="s">
        <v>76</v>
      </c>
      <c r="D33" s="57">
        <f>IF(OR(D24=0,D21=0),"-",(2*D26*SQRT(D24)-D25*D24)/(D21*D24))</f>
        <v>0.41901827761725979</v>
      </c>
      <c r="E33" s="46" t="s">
        <v>77</v>
      </c>
      <c r="F33" s="47" t="s">
        <v>65</v>
      </c>
      <c r="G33" s="63" t="str">
        <f>IF(OR(D24=0,D21=0),"-","(2 · " &amp; D26 &amp; " kN/m² · √" &amp; D24 &amp; " − " &amp; D25 &amp; " kN/m² · " &amp; D24 &amp; ") ÷ (" &amp; D21 &amp; " kN/m³ · " &amp; D24 &amp; ") = " &amp; TEXT((2*D26*SQRT(D24)-D25*D24)/(D21*D24),"0.00") &amp; " m")</f>
        <v>(2 · 5 kN/m² · √0.296 − 10 kN/m² · 0.296) ÷ (20 kN/m³ · 0.296) = 0.42 m</v>
      </c>
      <c r="H33" s="64"/>
      <c r="I33" s="64"/>
      <c r="J33" s="65"/>
      <c r="K33" s="65"/>
      <c r="L33" s="65"/>
      <c r="M33" s="65"/>
      <c r="N33" s="66"/>
    </row>
    <row r="34" spans="3:18">
      <c r="C34" s="16"/>
      <c r="D34" s="36"/>
      <c r="E34" s="36"/>
      <c r="F34" s="36"/>
      <c r="G34" s="36"/>
      <c r="H34" s="36"/>
      <c r="I34" s="37"/>
      <c r="R34" s="48"/>
    </row>
    <row r="35" spans="3:18">
      <c r="C35" s="17"/>
      <c r="I35" s="38"/>
    </row>
    <row r="36" spans="3:18">
      <c r="C36" s="53"/>
      <c r="D36" s="48"/>
      <c r="I36" s="38"/>
      <c r="Q36" s="48"/>
    </row>
    <row r="37" spans="3:18">
      <c r="C37" s="53"/>
      <c r="I37" s="38"/>
    </row>
    <row r="38" spans="3:18">
      <c r="C38" s="17"/>
      <c r="D38" s="48"/>
      <c r="I38" s="38"/>
    </row>
    <row r="39" spans="3:18">
      <c r="C39" s="17"/>
      <c r="I39" s="38"/>
    </row>
    <row r="40" spans="3:18">
      <c r="C40" s="17"/>
      <c r="I40" s="38"/>
    </row>
    <row r="41" spans="3:18">
      <c r="C41" s="17"/>
      <c r="E41" s="48"/>
      <c r="I41" s="38"/>
    </row>
    <row r="42" spans="3:18">
      <c r="C42" s="17"/>
      <c r="I42" s="38"/>
    </row>
    <row r="43" spans="3:18">
      <c r="C43" s="17"/>
      <c r="I43" s="38"/>
    </row>
    <row r="44" spans="3:18">
      <c r="C44" s="17"/>
      <c r="I44" s="38"/>
    </row>
    <row r="45" spans="3:18">
      <c r="C45" s="17"/>
      <c r="I45" s="38"/>
    </row>
    <row r="46" spans="3:18">
      <c r="C46" s="17"/>
      <c r="I46" s="38"/>
    </row>
    <row r="47" spans="3:18">
      <c r="C47" s="17"/>
      <c r="I47" s="38"/>
    </row>
    <row r="48" spans="3:18">
      <c r="C48" s="17"/>
      <c r="I48" s="38"/>
    </row>
    <row r="49" spans="3:9">
      <c r="C49" s="17"/>
      <c r="I49" s="38"/>
    </row>
    <row r="50" spans="3:9">
      <c r="C50" s="17"/>
      <c r="I50" s="38"/>
    </row>
    <row r="51" spans="3:9">
      <c r="C51" s="17"/>
      <c r="I51" s="38"/>
    </row>
    <row r="52" spans="3:9">
      <c r="C52" s="17"/>
      <c r="I52" s="38"/>
    </row>
    <row r="53" spans="3:9">
      <c r="C53" s="17"/>
      <c r="I53" s="38"/>
    </row>
    <row r="54" spans="3:9">
      <c r="C54" s="17"/>
      <c r="I54" s="38"/>
    </row>
    <row r="55" spans="3:9">
      <c r="C55" s="17"/>
      <c r="I55" s="38"/>
    </row>
    <row r="56" spans="3:9">
      <c r="C56" s="17"/>
      <c r="I56" s="38"/>
    </row>
    <row r="57" spans="3:9">
      <c r="C57" s="17"/>
      <c r="I57" s="38"/>
    </row>
    <row r="58" spans="3:9">
      <c r="C58" s="17"/>
      <c r="I58" s="38"/>
    </row>
    <row r="59" spans="3:9" ht="15" thickBot="1">
      <c r="C59" s="39"/>
      <c r="D59" s="51"/>
      <c r="E59" s="51"/>
      <c r="F59" s="51"/>
      <c r="G59" s="51"/>
      <c r="H59" s="51"/>
      <c r="I59" s="52"/>
    </row>
  </sheetData>
  <sheetProtection selectLockedCells="1"/>
  <mergeCells count="13">
    <mergeCell ref="G33:N33"/>
    <mergeCell ref="B3:F3"/>
    <mergeCell ref="B11:F11"/>
    <mergeCell ref="E14:G14"/>
    <mergeCell ref="E12:G12"/>
    <mergeCell ref="B17:F17"/>
    <mergeCell ref="G31:N31"/>
    <mergeCell ref="G32:N32"/>
    <mergeCell ref="G27:N27"/>
    <mergeCell ref="G18:N18"/>
    <mergeCell ref="G30:N30"/>
    <mergeCell ref="G29:N29"/>
    <mergeCell ref="G28:N28"/>
  </mergeCells>
  <conditionalFormatting sqref="D33">
    <cfRule type="cellIs" dxfId="6" priority="1" operator="lessThan">
      <formula>1.5</formula>
    </cfRule>
    <cfRule type="cellIs" dxfId="5" priority="2" operator="greaterThanOrEqual">
      <formula>1.5</formula>
    </cfRule>
  </conditionalFormatting>
  <hyperlinks>
    <hyperlink ref="J1" r:id="rId1" xr:uid="{DBCD52DC-6ABE-584D-AAAA-8646C3868235}"/>
  </hyperlinks>
  <pageMargins left="0.7" right="0.7" top="0.78740157499999996" bottom="0.78740157499999996" header="0.3" footer="0.3"/>
  <pageSetup paperSize="9" orientation="portrait" r:id="rId2"/>
  <ignoredErrors>
    <ignoredError sqref="D24" unlockedFormula="1"/>
  </ignoredErrors>
  <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5506BEE-D135-434F-8C70-4B39D17B75DD}">
          <x14:formula1>
            <xm:f>Erdrukarten!$A$8:$A$10</xm:f>
          </x14:formula1>
          <xm:sqref>D9 D15</xm:sqref>
        </x14:dataValidation>
        <x14:dataValidation type="list" allowBlank="1" showInputMessage="1" showErrorMessage="1" xr:uid="{BDA59AD3-059B-E041-AF41-78E3B3A5CB21}">
          <x14:formula1>
            <xm:f>'aktiver Erddruckbeiwert'!$E$4:$AE$4</xm:f>
          </x14:formula1>
          <xm:sqref>D6 D13</xm:sqref>
        </x14:dataValidation>
        <x14:dataValidation type="list" allowBlank="1" showInputMessage="1" showErrorMessage="1" xr:uid="{6EEF1DDE-942C-4943-A554-D6DD95CA9CA8}">
          <x14:formula1>
            <xm:f>'aktiver Erddruckbeiwert'!$C$6:$C$10</xm:f>
          </x14:formula1>
          <xm:sqref>D7:D8</xm:sqref>
        </x14:dataValidation>
        <x14:dataValidation type="list" allowBlank="1" showInputMessage="1" showErrorMessage="1" xr:uid="{DD528D27-5CB6-D64C-8E71-E73BD9326158}">
          <x14:formula1>
            <xm:f>Erdrukarten!$A$1:$A$2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529D2-DE4B-46B9-8F9D-C119C2BD9D64}">
  <dimension ref="A1:C21"/>
  <sheetViews>
    <sheetView workbookViewId="0">
      <selection activeCell="B21" sqref="B21"/>
    </sheetView>
  </sheetViews>
  <sheetFormatPr baseColWidth="10" defaultRowHeight="14.4"/>
  <cols>
    <col min="1" max="1" width="21.77734375" customWidth="1"/>
  </cols>
  <sheetData>
    <row r="1" spans="1:3">
      <c r="A1" t="s">
        <v>85</v>
      </c>
      <c r="B1">
        <f>Home!D19</f>
        <v>8</v>
      </c>
      <c r="C1">
        <f>Home!D19</f>
        <v>8</v>
      </c>
    </row>
    <row r="2" spans="1:3">
      <c r="A2" t="s">
        <v>87</v>
      </c>
      <c r="B2">
        <v>0</v>
      </c>
      <c r="C2">
        <f>Home!D19*TAN(RADIANS(Home!D7))</f>
        <v>1.4106158456677198</v>
      </c>
    </row>
    <row r="3" spans="1:3">
      <c r="A3" t="s">
        <v>86</v>
      </c>
      <c r="B3">
        <f>Home!D19</f>
        <v>8</v>
      </c>
      <c r="C3">
        <v>0</v>
      </c>
    </row>
    <row r="4" spans="1:3">
      <c r="A4" t="s">
        <v>88</v>
      </c>
      <c r="B4">
        <f>Home!$D$19*TAN(RADIANS(Home!$D$7))</f>
        <v>1.4106158456677198</v>
      </c>
      <c r="C4">
        <f>Home!D19</f>
        <v>8</v>
      </c>
    </row>
    <row r="5" spans="1:3">
      <c r="A5" t="s">
        <v>89</v>
      </c>
      <c r="B5">
        <v>0</v>
      </c>
      <c r="C5">
        <f>-(Home!$D$19*TAN(RADIANS(Home!$D$8)))</f>
        <v>-1.4106158456677198</v>
      </c>
    </row>
    <row r="7" spans="1:3">
      <c r="A7" t="s">
        <v>91</v>
      </c>
      <c r="B7">
        <v>0</v>
      </c>
      <c r="C7">
        <f>Home!D19</f>
        <v>8</v>
      </c>
    </row>
    <row r="8" spans="1:3">
      <c r="A8" t="s">
        <v>90</v>
      </c>
      <c r="B8" s="48">
        <f>Home!D31</f>
        <v>-2.480588203494178</v>
      </c>
      <c r="C8" s="48">
        <f>Home!D32</f>
        <v>44.879411796505821</v>
      </c>
    </row>
    <row r="10" spans="1:3">
      <c r="A10" t="s">
        <v>93</v>
      </c>
      <c r="B10">
        <v>0</v>
      </c>
      <c r="C10">
        <f>Home!D19</f>
        <v>8</v>
      </c>
    </row>
    <row r="11" spans="1:3">
      <c r="A11" t="s">
        <v>92</v>
      </c>
      <c r="B11">
        <v>0</v>
      </c>
      <c r="C11">
        <v>0</v>
      </c>
    </row>
    <row r="13" spans="1:3">
      <c r="A13" t="s">
        <v>94</v>
      </c>
      <c r="B13">
        <f>Home!D19</f>
        <v>8</v>
      </c>
      <c r="C13">
        <f>Home!D19</f>
        <v>8</v>
      </c>
    </row>
    <row r="14" spans="1:3">
      <c r="A14" t="s">
        <v>95</v>
      </c>
      <c r="B14">
        <v>0</v>
      </c>
      <c r="C14" s="48">
        <f>Home!D32</f>
        <v>44.879411796505821</v>
      </c>
    </row>
    <row r="16" spans="1:3">
      <c r="A16" t="s">
        <v>96</v>
      </c>
      <c r="B16" s="48">
        <f>Home!D31</f>
        <v>-2.480588203494178</v>
      </c>
      <c r="C16">
        <v>0</v>
      </c>
    </row>
    <row r="17" spans="1:3">
      <c r="A17" t="s">
        <v>97</v>
      </c>
      <c r="B17">
        <v>0</v>
      </c>
      <c r="C17">
        <v>0</v>
      </c>
    </row>
    <row r="19" spans="1:3">
      <c r="A19" t="s">
        <v>98</v>
      </c>
      <c r="B19">
        <f>Home!D33</f>
        <v>0.41901827761725979</v>
      </c>
    </row>
    <row r="21" spans="1:3">
      <c r="A21" t="s">
        <v>112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589C8-A9F9-7746-94E4-36EA0E3B0889}">
  <sheetPr codeName="Tabelle2"/>
  <dimension ref="A1:C14"/>
  <sheetViews>
    <sheetView zoomScale="177" workbookViewId="0">
      <selection activeCell="B9" sqref="B9"/>
    </sheetView>
  </sheetViews>
  <sheetFormatPr baseColWidth="10" defaultColWidth="11.5546875" defaultRowHeight="14.4"/>
  <cols>
    <col min="1" max="1" width="25.109375" bestFit="1" customWidth="1"/>
    <col min="2" max="2" width="18.44140625" customWidth="1"/>
    <col min="3" max="3" width="23.33203125" bestFit="1" customWidth="1"/>
  </cols>
  <sheetData>
    <row r="1" spans="1:3">
      <c r="A1" t="s">
        <v>19</v>
      </c>
    </row>
    <row r="2" spans="1:3">
      <c r="A2" t="s">
        <v>20</v>
      </c>
    </row>
    <row r="3" spans="1:3">
      <c r="A3" t="s">
        <v>21</v>
      </c>
    </row>
    <row r="7" spans="1:3">
      <c r="A7" s="13" t="s">
        <v>22</v>
      </c>
      <c r="B7" s="13" t="s">
        <v>23</v>
      </c>
      <c r="C7" s="13" t="s">
        <v>24</v>
      </c>
    </row>
    <row r="8" spans="1:3">
      <c r="A8" s="15" t="s">
        <v>25</v>
      </c>
      <c r="B8" s="15" t="s">
        <v>37</v>
      </c>
      <c r="C8" s="15" t="s">
        <v>26</v>
      </c>
    </row>
    <row r="9" spans="1:3">
      <c r="A9" s="15" t="s">
        <v>27</v>
      </c>
      <c r="B9" s="15" t="s">
        <v>39</v>
      </c>
      <c r="C9" s="15" t="s">
        <v>28</v>
      </c>
    </row>
    <row r="10" spans="1:3">
      <c r="A10" s="15" t="s">
        <v>29</v>
      </c>
      <c r="B10" s="15" t="s">
        <v>38</v>
      </c>
      <c r="C10" s="15" t="s">
        <v>30</v>
      </c>
    </row>
    <row r="11" spans="1:3">
      <c r="A11" s="15"/>
      <c r="B11" s="15"/>
      <c r="C11" s="15"/>
    </row>
    <row r="12" spans="1:3">
      <c r="A12" s="15" t="s">
        <v>31</v>
      </c>
      <c r="B12" s="15" t="s">
        <v>32</v>
      </c>
      <c r="C12" s="15" t="s">
        <v>33</v>
      </c>
    </row>
    <row r="13" spans="1:3">
      <c r="A13" s="15"/>
      <c r="B13" s="15"/>
      <c r="C13" s="15"/>
    </row>
    <row r="14" spans="1:3">
      <c r="A14" s="15" t="s">
        <v>34</v>
      </c>
      <c r="B14" s="15" t="s">
        <v>35</v>
      </c>
      <c r="C14" s="15" t="s">
        <v>36</v>
      </c>
    </row>
  </sheetData>
  <sheetProtection algorithmName="SHA-512" hashValue="A0YxP5kTp1VAYXJ18ZAuzWbVJxCfR2PlAIHR6J3+IhPJunDr8uV7DwBzCCo+LnDGD147k7+QxHb/fAPr0ik1xw==" saltValue="UZ19AyCLvvJbxJukWgCrcw==" spinCount="100000" sheet="1" objects="1" scenarios="1" selectLockedCells="1" selectUnlockedCells="1"/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B2:AE38"/>
  <sheetViews>
    <sheetView topLeftCell="H1" zoomScale="113" workbookViewId="0">
      <selection activeCell="V32" sqref="V32"/>
    </sheetView>
  </sheetViews>
  <sheetFormatPr baseColWidth="10" defaultColWidth="8.77734375" defaultRowHeight="14.4"/>
  <cols>
    <col min="4" max="4" width="4.77734375" bestFit="1" customWidth="1"/>
  </cols>
  <sheetData>
    <row r="2" spans="2:31" ht="15.6">
      <c r="B2" s="12" t="s">
        <v>9</v>
      </c>
    </row>
    <row r="3" spans="2:31">
      <c r="E3" s="14" t="str">
        <f>E4&amp;E5</f>
        <v>20φ</v>
      </c>
      <c r="F3" s="14" t="str">
        <f t="shared" ref="F3:H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ref="I3" si="1">I4&amp;I5</f>
        <v>22.51/3 φ</v>
      </c>
      <c r="J3" s="14" t="str">
        <f t="shared" ref="J3:K3" si="2">J4&amp;J5</f>
        <v>22.52/3 φ</v>
      </c>
      <c r="K3" s="14" t="str">
        <f t="shared" si="2"/>
        <v>25φ</v>
      </c>
      <c r="L3" s="14" t="str">
        <f t="shared" ref="L3" si="3">L4&amp;L5</f>
        <v>251/3 φ</v>
      </c>
      <c r="M3" s="14" t="str">
        <f t="shared" ref="M3" si="4">M4&amp;M5</f>
        <v>252/3 φ</v>
      </c>
      <c r="N3" s="14" t="str">
        <f>N4&amp;N5</f>
        <v>27.5φ</v>
      </c>
      <c r="O3" s="14" t="str">
        <f t="shared" ref="O3" si="5">O4&amp;O5</f>
        <v>27.51/3 φ</v>
      </c>
      <c r="P3" s="14" t="str">
        <f t="shared" ref="P3" si="6">P4&amp;P5</f>
        <v>27.52/3 φ</v>
      </c>
      <c r="Q3" s="14" t="str">
        <f t="shared" ref="Q3" si="7">Q4&amp;Q5</f>
        <v>30φ</v>
      </c>
      <c r="R3" s="14" t="str">
        <f t="shared" ref="R3" si="8">R4&amp;R5</f>
        <v>301/3 φ</v>
      </c>
      <c r="S3" s="14" t="str">
        <f t="shared" ref="S3" si="9">S4&amp;S5</f>
        <v>302/3 φ</v>
      </c>
      <c r="T3" s="14" t="str">
        <f t="shared" ref="T3" si="10">T4&amp;T5</f>
        <v>32.5φ</v>
      </c>
      <c r="U3" s="14" t="str">
        <f t="shared" ref="U3" si="11">U4&amp;U5</f>
        <v>32.51/3 φ</v>
      </c>
      <c r="V3" s="14" t="str">
        <f t="shared" ref="V3" si="12">V4&amp;V5</f>
        <v>32.52/3 φ</v>
      </c>
      <c r="W3" t="str">
        <f>W4&amp;W5</f>
        <v>35φ</v>
      </c>
      <c r="X3" t="str">
        <f t="shared" ref="X3" si="13">X4&amp;X5</f>
        <v>351/3 φ</v>
      </c>
      <c r="Y3" t="str">
        <f t="shared" ref="Y3" si="14">Y4&amp;Y5</f>
        <v>352/3 φ</v>
      </c>
      <c r="Z3" t="str">
        <f t="shared" ref="Z3" si="15">Z4&amp;Z5</f>
        <v>37.5φ</v>
      </c>
      <c r="AA3" t="str">
        <f t="shared" ref="AA3" si="16">AA4&amp;AA5</f>
        <v>37.51/3 φ</v>
      </c>
      <c r="AB3" t="str">
        <f t="shared" ref="AB3" si="17">AB4&amp;AB5</f>
        <v>37.52/3 φ</v>
      </c>
      <c r="AC3" t="str">
        <f t="shared" ref="AC3" si="18">AC4&amp;AC5</f>
        <v>40φ</v>
      </c>
      <c r="AD3" t="str">
        <f t="shared" ref="AD3" si="19">AD4&amp;AD5</f>
        <v>401/3 φ</v>
      </c>
      <c r="AE3" t="str">
        <f>AE4&amp;AE5</f>
        <v>402/3 φ</v>
      </c>
    </row>
    <row r="4" spans="2:31">
      <c r="B4" s="90" t="s">
        <v>8</v>
      </c>
      <c r="C4" s="90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  <c r="Z4" s="1">
        <v>37.5</v>
      </c>
      <c r="AA4" s="1">
        <v>37.5</v>
      </c>
      <c r="AB4" s="1">
        <v>37.5</v>
      </c>
      <c r="AC4" s="1">
        <v>40</v>
      </c>
      <c r="AD4" s="1">
        <v>40</v>
      </c>
      <c r="AE4" s="1">
        <v>40</v>
      </c>
    </row>
    <row r="5" spans="2:31">
      <c r="B5" s="91"/>
      <c r="C5" s="91"/>
      <c r="D5" s="11" t="s">
        <v>6</v>
      </c>
      <c r="E5" s="10" t="s">
        <v>39</v>
      </c>
      <c r="F5" s="10" t="s">
        <v>38</v>
      </c>
      <c r="G5" s="10" t="s">
        <v>37</v>
      </c>
      <c r="H5" s="10" t="s">
        <v>39</v>
      </c>
      <c r="I5" s="10" t="s">
        <v>38</v>
      </c>
      <c r="J5" s="10" t="s">
        <v>37</v>
      </c>
      <c r="K5" s="10" t="s">
        <v>39</v>
      </c>
      <c r="L5" s="10" t="s">
        <v>38</v>
      </c>
      <c r="M5" s="10" t="s">
        <v>37</v>
      </c>
      <c r="N5" s="10" t="s">
        <v>39</v>
      </c>
      <c r="O5" s="10" t="s">
        <v>38</v>
      </c>
      <c r="P5" s="10" t="s">
        <v>37</v>
      </c>
      <c r="Q5" s="10" t="s">
        <v>39</v>
      </c>
      <c r="R5" s="10" t="s">
        <v>38</v>
      </c>
      <c r="S5" s="10" t="s">
        <v>37</v>
      </c>
      <c r="T5" s="10" t="s">
        <v>39</v>
      </c>
      <c r="U5" s="10" t="s">
        <v>38</v>
      </c>
      <c r="V5" s="10" t="s">
        <v>37</v>
      </c>
      <c r="W5" s="10" t="s">
        <v>39</v>
      </c>
      <c r="X5" s="10" t="s">
        <v>38</v>
      </c>
      <c r="Y5" s="10" t="s">
        <v>37</v>
      </c>
      <c r="Z5" s="10" t="s">
        <v>39</v>
      </c>
      <c r="AA5" s="10" t="s">
        <v>38</v>
      </c>
      <c r="AB5" s="10" t="s">
        <v>37</v>
      </c>
      <c r="AC5" s="10" t="s">
        <v>39</v>
      </c>
      <c r="AD5" s="10" t="s">
        <v>38</v>
      </c>
      <c r="AE5" s="10" t="s">
        <v>37</v>
      </c>
    </row>
    <row r="6" spans="2:31">
      <c r="B6" s="87">
        <v>20</v>
      </c>
      <c r="C6" s="3">
        <v>20</v>
      </c>
      <c r="D6" s="3"/>
      <c r="E6" s="3">
        <v>0.66500000000000004</v>
      </c>
      <c r="F6" s="3">
        <v>0.66500000000000004</v>
      </c>
      <c r="G6" s="3">
        <v>0.66500000000000004</v>
      </c>
      <c r="H6" s="3">
        <v>0.46400000000000002</v>
      </c>
      <c r="I6" s="3">
        <v>0.44900000000000001</v>
      </c>
      <c r="J6" s="3">
        <v>0.437</v>
      </c>
      <c r="K6" s="3">
        <v>0.377</v>
      </c>
      <c r="L6" s="3">
        <v>0.36099999999999999</v>
      </c>
      <c r="M6" s="3">
        <v>0.34799999999999998</v>
      </c>
      <c r="N6" s="3">
        <v>0.311</v>
      </c>
      <c r="O6" s="3">
        <v>0.29599999999999999</v>
      </c>
      <c r="P6" s="3">
        <v>0.28399999999999997</v>
      </c>
      <c r="Q6" s="3">
        <v>0.25800000000000001</v>
      </c>
      <c r="R6" s="3">
        <v>0.24399999999999999</v>
      </c>
      <c r="S6" s="3">
        <v>0.23300000000000001</v>
      </c>
      <c r="T6" s="3">
        <v>0.214</v>
      </c>
      <c r="U6" s="3">
        <v>0.20200000000000001</v>
      </c>
      <c r="V6" s="3">
        <v>0.192</v>
      </c>
      <c r="W6" s="3">
        <v>0.17499999999999999</v>
      </c>
      <c r="X6" s="3">
        <v>0.16600000000000001</v>
      </c>
      <c r="Y6" s="3">
        <v>0.158</v>
      </c>
      <c r="Z6" s="3">
        <v>0.14399999999999999</v>
      </c>
      <c r="AA6" s="3">
        <v>0.13600000000000001</v>
      </c>
      <c r="AB6" s="3">
        <v>0.129</v>
      </c>
      <c r="AC6" s="3">
        <v>0.11700000000000001</v>
      </c>
      <c r="AD6" s="3">
        <v>0.111</v>
      </c>
      <c r="AE6" s="4">
        <v>0.105</v>
      </c>
    </row>
    <row r="7" spans="2:31">
      <c r="B7" s="88"/>
      <c r="C7">
        <v>10</v>
      </c>
      <c r="E7">
        <v>0.41199999999999998</v>
      </c>
      <c r="F7">
        <v>0.39100000000000001</v>
      </c>
      <c r="G7">
        <v>0.374</v>
      </c>
      <c r="H7">
        <v>0.35399999999999998</v>
      </c>
      <c r="I7">
        <v>0.33400000000000002</v>
      </c>
      <c r="J7">
        <v>0.318</v>
      </c>
      <c r="K7">
        <v>0.30299999999999999</v>
      </c>
      <c r="L7">
        <v>0.28499999999999998</v>
      </c>
      <c r="M7">
        <v>0.27100000000000002</v>
      </c>
      <c r="N7">
        <v>0.25900000000000001</v>
      </c>
      <c r="O7">
        <v>0.24299999999999999</v>
      </c>
      <c r="P7">
        <v>0.23</v>
      </c>
      <c r="Q7">
        <v>0.22</v>
      </c>
      <c r="R7">
        <v>0.20599999999999999</v>
      </c>
      <c r="S7">
        <v>0.19500000000000001</v>
      </c>
      <c r="T7">
        <v>0.186</v>
      </c>
      <c r="U7">
        <v>0.17399999999999999</v>
      </c>
      <c r="V7">
        <v>0.16400000000000001</v>
      </c>
      <c r="W7">
        <v>0.155</v>
      </c>
      <c r="X7">
        <v>0.14599999999999999</v>
      </c>
      <c r="Y7">
        <v>0.13800000000000001</v>
      </c>
      <c r="Z7">
        <v>0.13</v>
      </c>
      <c r="AA7">
        <v>0.121</v>
      </c>
      <c r="AB7">
        <v>0.115</v>
      </c>
      <c r="AC7">
        <v>0.107</v>
      </c>
      <c r="AD7">
        <v>0.1</v>
      </c>
      <c r="AE7" s="6">
        <v>9.5000000000000001E-2</v>
      </c>
    </row>
    <row r="8" spans="2:31">
      <c r="B8" s="88"/>
      <c r="C8">
        <v>0</v>
      </c>
      <c r="E8">
        <v>0.35699999999999998</v>
      </c>
      <c r="F8">
        <v>0.33400000000000002</v>
      </c>
      <c r="G8">
        <v>0.317</v>
      </c>
      <c r="H8">
        <v>0.311</v>
      </c>
      <c r="I8">
        <v>0.28999999999999998</v>
      </c>
      <c r="J8">
        <v>0.27400000000000002</v>
      </c>
      <c r="K8">
        <v>0.26900000000000002</v>
      </c>
      <c r="L8">
        <v>0.251</v>
      </c>
      <c r="M8">
        <v>0.23699999999999999</v>
      </c>
      <c r="N8">
        <v>0.23200000000000001</v>
      </c>
      <c r="O8">
        <v>0.216</v>
      </c>
      <c r="P8">
        <v>0.20300000000000001</v>
      </c>
      <c r="Q8">
        <v>0.19900000000000001</v>
      </c>
      <c r="R8">
        <v>0.185</v>
      </c>
      <c r="S8">
        <v>0.17399999999999999</v>
      </c>
      <c r="T8">
        <v>0.17</v>
      </c>
      <c r="U8">
        <v>0.158</v>
      </c>
      <c r="V8">
        <v>0.14899999999999999</v>
      </c>
      <c r="W8">
        <v>0.14399999999999999</v>
      </c>
      <c r="X8">
        <v>0.13400000000000001</v>
      </c>
      <c r="Y8">
        <v>0.126</v>
      </c>
      <c r="Z8">
        <v>0.12</v>
      </c>
      <c r="AA8">
        <v>0.112</v>
      </c>
      <c r="AB8">
        <v>0.106</v>
      </c>
      <c r="AC8">
        <v>0.1</v>
      </c>
      <c r="AD8">
        <v>9.2999999999999999E-2</v>
      </c>
      <c r="AE8" s="6">
        <v>8.7999999999999995E-2</v>
      </c>
    </row>
    <row r="9" spans="2:31">
      <c r="B9" s="88"/>
      <c r="C9">
        <v>-10</v>
      </c>
      <c r="E9">
        <v>0.32500000000000001</v>
      </c>
      <c r="F9">
        <v>0.30199999999999999</v>
      </c>
      <c r="G9">
        <v>0.28399999999999997</v>
      </c>
      <c r="H9">
        <v>0.28399999999999997</v>
      </c>
      <c r="I9">
        <v>0.26300000000000001</v>
      </c>
      <c r="J9">
        <v>0.247</v>
      </c>
      <c r="K9">
        <v>0.248</v>
      </c>
      <c r="L9">
        <v>0.22900000000000001</v>
      </c>
      <c r="M9">
        <v>0.215</v>
      </c>
      <c r="N9">
        <v>0.215</v>
      </c>
      <c r="O9">
        <v>0.19900000000000001</v>
      </c>
      <c r="P9">
        <v>0.186</v>
      </c>
      <c r="Q9">
        <v>0.185</v>
      </c>
      <c r="R9">
        <v>0.17100000000000001</v>
      </c>
      <c r="S9">
        <v>0.161</v>
      </c>
      <c r="T9">
        <v>0.159</v>
      </c>
      <c r="U9">
        <v>0.14699999999999999</v>
      </c>
      <c r="V9">
        <v>0.13800000000000001</v>
      </c>
      <c r="W9">
        <v>0.13500000000000001</v>
      </c>
      <c r="X9">
        <v>0.125</v>
      </c>
      <c r="Y9">
        <v>0.11700000000000001</v>
      </c>
      <c r="Z9">
        <v>0.114</v>
      </c>
      <c r="AA9">
        <v>0.105</v>
      </c>
      <c r="AB9">
        <v>9.9000000000000005E-2</v>
      </c>
      <c r="AC9">
        <v>9.5000000000000001E-2</v>
      </c>
      <c r="AD9">
        <v>8.7999999999999995E-2</v>
      </c>
      <c r="AE9" s="6">
        <v>8.3000000000000004E-2</v>
      </c>
    </row>
    <row r="10" spans="2:31">
      <c r="B10" s="89"/>
      <c r="C10" s="8">
        <v>-20</v>
      </c>
      <c r="D10" s="8"/>
      <c r="E10" s="8">
        <v>0.30199999999999999</v>
      </c>
      <c r="F10" s="8">
        <v>0.27900000000000003</v>
      </c>
      <c r="G10" s="8">
        <v>0.26100000000000001</v>
      </c>
      <c r="H10" s="8">
        <v>0.26500000000000001</v>
      </c>
      <c r="I10" s="8">
        <v>0.24399999999999999</v>
      </c>
      <c r="J10" s="8">
        <v>0.22800000000000001</v>
      </c>
      <c r="K10" s="8">
        <v>0.23200000000000001</v>
      </c>
      <c r="L10" s="8">
        <v>0.21299999999999999</v>
      </c>
      <c r="M10" s="8">
        <v>0.19900000000000001</v>
      </c>
      <c r="N10" s="8">
        <v>0.20100000000000001</v>
      </c>
      <c r="O10" s="8">
        <v>0.185</v>
      </c>
      <c r="P10" s="8">
        <v>0.17299999999999999</v>
      </c>
      <c r="Q10" s="8">
        <v>0.17399999999999999</v>
      </c>
      <c r="R10" s="8">
        <v>0.161</v>
      </c>
      <c r="S10" s="8">
        <v>0.15</v>
      </c>
      <c r="T10" s="8">
        <v>0.15</v>
      </c>
      <c r="U10" s="8">
        <v>0.13800000000000001</v>
      </c>
      <c r="V10" s="8">
        <v>0.129</v>
      </c>
      <c r="W10" s="8">
        <v>0.128</v>
      </c>
      <c r="X10" s="8">
        <v>0.11799999999999999</v>
      </c>
      <c r="Y10" s="8">
        <v>0.111</v>
      </c>
      <c r="Z10" s="8">
        <v>0.108</v>
      </c>
      <c r="AA10" s="8">
        <v>0.1</v>
      </c>
      <c r="AB10" s="8">
        <v>9.4E-2</v>
      </c>
      <c r="AC10" s="8">
        <v>0.09</v>
      </c>
      <c r="AD10" s="8">
        <v>8.4000000000000005E-2</v>
      </c>
      <c r="AE10" s="9">
        <v>7.9000000000000001E-2</v>
      </c>
    </row>
    <row r="11" spans="2:31">
      <c r="B11" s="87">
        <v>10</v>
      </c>
      <c r="C11" s="3">
        <v>20</v>
      </c>
      <c r="D11" s="3"/>
      <c r="E11" s="3">
        <v>0.77300000000000002</v>
      </c>
      <c r="F11" s="3">
        <v>0.77300000000000002</v>
      </c>
      <c r="G11" s="3">
        <v>0.77300000000000002</v>
      </c>
      <c r="H11" s="3">
        <v>0.56399999999999995</v>
      </c>
      <c r="I11" s="3">
        <v>0.54600000000000004</v>
      </c>
      <c r="J11" s="3">
        <v>0.53100000000000003</v>
      </c>
      <c r="K11" s="3">
        <v>0.47399999999999998</v>
      </c>
      <c r="L11" s="3">
        <v>0.45300000000000001</v>
      </c>
      <c r="M11" s="3">
        <v>0.436</v>
      </c>
      <c r="N11" s="3">
        <v>0.40500000000000003</v>
      </c>
      <c r="O11" s="3">
        <v>0.38400000000000001</v>
      </c>
      <c r="P11" s="3">
        <v>0.36699999999999999</v>
      </c>
      <c r="Q11" s="3">
        <v>0.34799999999999998</v>
      </c>
      <c r="R11" s="3">
        <v>0.32800000000000001</v>
      </c>
      <c r="S11" s="3">
        <v>0.311</v>
      </c>
      <c r="T11" s="3">
        <v>0.29899999999999999</v>
      </c>
      <c r="U11" s="3">
        <v>0.28000000000000003</v>
      </c>
      <c r="V11" s="3">
        <v>0.26500000000000001</v>
      </c>
      <c r="W11" s="3">
        <v>0.25700000000000001</v>
      </c>
      <c r="X11" s="3">
        <v>0.24</v>
      </c>
      <c r="Y11" s="3">
        <v>0.22600000000000001</v>
      </c>
      <c r="Z11" s="3">
        <v>0.22</v>
      </c>
      <c r="AA11" s="3">
        <v>0.20499999999999999</v>
      </c>
      <c r="AB11" s="3">
        <v>0.192</v>
      </c>
      <c r="AC11" s="3">
        <v>0.187</v>
      </c>
      <c r="AD11" s="3">
        <v>0.17399999999999999</v>
      </c>
      <c r="AE11" s="4">
        <v>0.16300000000000001</v>
      </c>
    </row>
    <row r="12" spans="2:31">
      <c r="B12" s="88"/>
      <c r="C12">
        <v>10</v>
      </c>
      <c r="E12">
        <v>0.49199999999999999</v>
      </c>
      <c r="F12">
        <v>0.46600000000000003</v>
      </c>
      <c r="G12">
        <v>0.44400000000000001</v>
      </c>
      <c r="H12">
        <v>0.434</v>
      </c>
      <c r="I12">
        <v>0.40899999999999997</v>
      </c>
      <c r="J12">
        <v>0.38800000000000001</v>
      </c>
      <c r="K12">
        <v>0.38300000000000001</v>
      </c>
      <c r="L12">
        <v>0.35899999999999999</v>
      </c>
      <c r="M12">
        <v>0.33900000000000002</v>
      </c>
      <c r="N12">
        <v>0.33700000000000002</v>
      </c>
      <c r="O12">
        <v>0.314</v>
      </c>
      <c r="P12">
        <v>0.29599999999999999</v>
      </c>
      <c r="Q12">
        <v>0.29599999999999999</v>
      </c>
      <c r="R12">
        <v>0.27500000000000002</v>
      </c>
      <c r="S12">
        <v>0.25800000000000001</v>
      </c>
      <c r="T12">
        <v>0.25900000000000001</v>
      </c>
      <c r="U12">
        <v>0.24</v>
      </c>
      <c r="V12">
        <v>0.224</v>
      </c>
      <c r="W12">
        <v>0.22600000000000001</v>
      </c>
      <c r="X12">
        <v>0.20899999999999999</v>
      </c>
      <c r="Y12">
        <v>0.19500000000000001</v>
      </c>
      <c r="Z12">
        <v>0.19500000000000001</v>
      </c>
      <c r="AA12">
        <v>0.18099999999999999</v>
      </c>
      <c r="AB12">
        <v>0.16800000000000001</v>
      </c>
      <c r="AC12">
        <v>0.16900000000000001</v>
      </c>
      <c r="AD12">
        <v>0.156</v>
      </c>
      <c r="AE12" s="6">
        <v>0.14499999999999999</v>
      </c>
    </row>
    <row r="13" spans="2:31">
      <c r="B13" s="88"/>
      <c r="C13">
        <v>0</v>
      </c>
      <c r="E13">
        <v>0.42599999999999999</v>
      </c>
      <c r="F13">
        <v>0.39700000000000002</v>
      </c>
      <c r="G13">
        <v>0.374</v>
      </c>
      <c r="H13">
        <v>0.38</v>
      </c>
      <c r="I13">
        <v>0.35299999999999998</v>
      </c>
      <c r="J13">
        <v>0.33200000000000002</v>
      </c>
      <c r="K13">
        <v>0.33900000000000002</v>
      </c>
      <c r="L13">
        <v>0.313</v>
      </c>
      <c r="M13">
        <v>0.29299999999999998</v>
      </c>
      <c r="N13">
        <v>0.30099999999999999</v>
      </c>
      <c r="O13">
        <v>0.27800000000000002</v>
      </c>
      <c r="P13">
        <v>0.25900000000000001</v>
      </c>
      <c r="Q13">
        <v>0.26600000000000001</v>
      </c>
      <c r="R13">
        <v>0.245</v>
      </c>
      <c r="S13">
        <v>0.22800000000000001</v>
      </c>
      <c r="T13">
        <v>0.23499999999999999</v>
      </c>
      <c r="U13">
        <v>0.216</v>
      </c>
      <c r="V13">
        <v>0.2</v>
      </c>
      <c r="W13">
        <v>0.20599999999999999</v>
      </c>
      <c r="X13">
        <v>0.189</v>
      </c>
      <c r="Y13">
        <v>0.17599999999999999</v>
      </c>
      <c r="Z13">
        <v>0.18</v>
      </c>
      <c r="AA13">
        <v>0.16500000000000001</v>
      </c>
      <c r="AB13">
        <v>0.153</v>
      </c>
      <c r="AC13">
        <v>0.156</v>
      </c>
      <c r="AD13">
        <v>0.14299999999999999</v>
      </c>
      <c r="AE13" s="6">
        <v>0.13300000000000001</v>
      </c>
    </row>
    <row r="14" spans="2:31">
      <c r="B14" s="88"/>
      <c r="C14">
        <v>-10</v>
      </c>
      <c r="E14">
        <v>0.38500000000000001</v>
      </c>
      <c r="F14">
        <v>0.35599999999999998</v>
      </c>
      <c r="G14">
        <v>0.33300000000000002</v>
      </c>
      <c r="H14">
        <v>0.34599999999999997</v>
      </c>
      <c r="I14">
        <v>0.318</v>
      </c>
      <c r="J14">
        <v>0.29599999999999999</v>
      </c>
      <c r="K14">
        <v>0.309</v>
      </c>
      <c r="L14">
        <v>0.28399999999999997</v>
      </c>
      <c r="M14">
        <v>0.26400000000000001</v>
      </c>
      <c r="N14">
        <v>0.27600000000000002</v>
      </c>
      <c r="O14">
        <v>0.253</v>
      </c>
      <c r="P14">
        <v>0.23400000000000001</v>
      </c>
      <c r="Q14">
        <v>0.245</v>
      </c>
      <c r="R14">
        <v>0.224</v>
      </c>
      <c r="S14">
        <v>0.20799999999999999</v>
      </c>
      <c r="T14">
        <v>0.217</v>
      </c>
      <c r="U14">
        <v>0.19800000000000001</v>
      </c>
      <c r="V14">
        <v>0.183</v>
      </c>
      <c r="W14">
        <v>0.191</v>
      </c>
      <c r="X14">
        <v>0.17499999999999999</v>
      </c>
      <c r="Y14">
        <v>0.16200000000000001</v>
      </c>
      <c r="Z14">
        <v>0.16800000000000001</v>
      </c>
      <c r="AA14">
        <v>0.153</v>
      </c>
      <c r="AB14">
        <v>0.14199999999999999</v>
      </c>
      <c r="AC14">
        <v>0.14499999999999999</v>
      </c>
      <c r="AD14">
        <v>0.13400000000000001</v>
      </c>
      <c r="AE14" s="6">
        <v>0.124</v>
      </c>
    </row>
    <row r="15" spans="2:31">
      <c r="B15" s="89"/>
      <c r="C15" s="8">
        <v>-20</v>
      </c>
      <c r="D15" s="8"/>
      <c r="E15" s="8">
        <v>0.35499999999999998</v>
      </c>
      <c r="F15" s="8">
        <v>0.32500000000000001</v>
      </c>
      <c r="G15" s="8">
        <v>0.30199999999999999</v>
      </c>
      <c r="H15" s="8">
        <v>0.31900000000000001</v>
      </c>
      <c r="I15" s="8">
        <v>0.29199999999999998</v>
      </c>
      <c r="J15" s="8">
        <v>0.27</v>
      </c>
      <c r="K15" s="8">
        <v>0.28599999999999998</v>
      </c>
      <c r="L15" s="8">
        <v>0.26100000000000001</v>
      </c>
      <c r="M15" s="8">
        <v>0.24099999999999999</v>
      </c>
      <c r="N15" s="8">
        <v>0.25600000000000001</v>
      </c>
      <c r="O15" s="8">
        <v>0.23300000000000001</v>
      </c>
      <c r="P15" s="8">
        <v>0.215</v>
      </c>
      <c r="Q15" s="8">
        <v>0.22800000000000001</v>
      </c>
      <c r="R15" s="8">
        <v>0.20799999999999999</v>
      </c>
      <c r="S15" s="8">
        <v>0.191</v>
      </c>
      <c r="T15" s="8">
        <v>0.20300000000000001</v>
      </c>
      <c r="U15" s="8">
        <v>0.184</v>
      </c>
      <c r="V15" s="8">
        <v>0.17</v>
      </c>
      <c r="W15" s="8">
        <v>0.17899999999999999</v>
      </c>
      <c r="X15" s="8">
        <v>0.16300000000000001</v>
      </c>
      <c r="Y15" s="8">
        <v>0.15</v>
      </c>
      <c r="Z15" s="8">
        <v>0.158</v>
      </c>
      <c r="AA15" s="8">
        <v>0.14399999999999999</v>
      </c>
      <c r="AB15" s="8">
        <v>0.13200000000000001</v>
      </c>
      <c r="AC15" s="8">
        <v>0.13800000000000001</v>
      </c>
      <c r="AD15" s="8">
        <v>0.126</v>
      </c>
      <c r="AE15" s="9">
        <v>0.11600000000000001</v>
      </c>
    </row>
    <row r="16" spans="2:31">
      <c r="B16" s="87">
        <v>0</v>
      </c>
      <c r="C16" s="3">
        <v>20</v>
      </c>
      <c r="D16" s="3"/>
      <c r="E16" s="3">
        <v>0.88300000000000001</v>
      </c>
      <c r="F16" s="3">
        <v>0.88300000000000001</v>
      </c>
      <c r="G16" s="3">
        <v>0.88300000000000001</v>
      </c>
      <c r="H16" s="3">
        <v>0.66500000000000004</v>
      </c>
      <c r="I16" s="3">
        <v>0.64200000000000002</v>
      </c>
      <c r="J16" s="3">
        <v>0.622</v>
      </c>
      <c r="K16" s="3">
        <v>0.57199999999999995</v>
      </c>
      <c r="L16" s="3">
        <v>0.54600000000000004</v>
      </c>
      <c r="M16" s="3">
        <v>0.52300000000000002</v>
      </c>
      <c r="N16" s="3">
        <v>0.501</v>
      </c>
      <c r="O16" s="3">
        <v>0.47299999999999998</v>
      </c>
      <c r="P16" s="3">
        <v>0.44900000000000001</v>
      </c>
      <c r="Q16" s="3">
        <v>0.441</v>
      </c>
      <c r="R16" s="3">
        <v>0.41299999999999998</v>
      </c>
      <c r="S16" s="3">
        <v>0.38900000000000001</v>
      </c>
      <c r="T16" s="3">
        <v>0.38900000000000001</v>
      </c>
      <c r="U16" s="3">
        <v>0.36199999999999999</v>
      </c>
      <c r="V16" s="3">
        <v>0.32900000000000001</v>
      </c>
      <c r="W16" s="3">
        <v>0.34399999999999997</v>
      </c>
      <c r="X16" s="3">
        <v>0.318</v>
      </c>
      <c r="Y16" s="3">
        <v>0.29599999999999999</v>
      </c>
      <c r="Z16" s="3">
        <v>0.30299999999999999</v>
      </c>
      <c r="AA16" s="3">
        <v>0.27900000000000003</v>
      </c>
      <c r="AB16" s="3">
        <v>0.25900000000000001</v>
      </c>
      <c r="AC16" s="3">
        <v>0.26700000000000002</v>
      </c>
      <c r="AD16" s="3">
        <v>0.245</v>
      </c>
      <c r="AE16" s="4">
        <v>0.22600000000000001</v>
      </c>
    </row>
    <row r="17" spans="2:31">
      <c r="B17" s="88"/>
      <c r="C17">
        <v>10</v>
      </c>
      <c r="E17">
        <v>0.56899999999999995</v>
      </c>
      <c r="F17">
        <v>0.53700000000000003</v>
      </c>
      <c r="G17">
        <v>0.51</v>
      </c>
      <c r="H17">
        <v>0.51300000000000001</v>
      </c>
      <c r="I17">
        <v>0.48</v>
      </c>
      <c r="J17">
        <v>0.45300000000000001</v>
      </c>
      <c r="K17">
        <v>0.46200000000000002</v>
      </c>
      <c r="L17">
        <v>0.43</v>
      </c>
      <c r="M17">
        <v>0.40300000000000002</v>
      </c>
      <c r="N17">
        <v>0.41599999999999998</v>
      </c>
      <c r="O17">
        <v>0.38500000000000001</v>
      </c>
      <c r="P17">
        <v>0.35899999999999999</v>
      </c>
      <c r="Q17">
        <v>0.374</v>
      </c>
      <c r="R17">
        <v>0.34399999999999997</v>
      </c>
      <c r="S17">
        <v>0.32</v>
      </c>
      <c r="T17">
        <v>0.33500000000000002</v>
      </c>
      <c r="U17">
        <v>0.307</v>
      </c>
      <c r="V17">
        <v>0.28899999999999998</v>
      </c>
      <c r="W17">
        <v>0.3</v>
      </c>
      <c r="X17">
        <v>0.27400000000000002</v>
      </c>
      <c r="Y17">
        <v>0.252</v>
      </c>
      <c r="Z17">
        <v>0.26700000000000002</v>
      </c>
      <c r="AA17">
        <v>0.24399999999999999</v>
      </c>
      <c r="AB17">
        <v>0.224</v>
      </c>
      <c r="AC17">
        <v>0.23799999999999999</v>
      </c>
      <c r="AD17">
        <v>0.216</v>
      </c>
      <c r="AE17" s="6">
        <v>0.19800000000000001</v>
      </c>
    </row>
    <row r="18" spans="2:31">
      <c r="B18" s="88"/>
      <c r="C18">
        <v>0</v>
      </c>
      <c r="E18">
        <v>0.49</v>
      </c>
      <c r="F18">
        <v>0.45500000000000002</v>
      </c>
      <c r="G18">
        <v>0.42599999999999999</v>
      </c>
      <c r="H18">
        <v>0.44600000000000001</v>
      </c>
      <c r="I18">
        <v>0.41199999999999998</v>
      </c>
      <c r="J18">
        <v>0.38400000000000001</v>
      </c>
      <c r="K18">
        <v>0.40600000000000003</v>
      </c>
      <c r="L18">
        <v>0.373</v>
      </c>
      <c r="M18">
        <v>0.34599999999999997</v>
      </c>
      <c r="N18">
        <v>0.36799999999999999</v>
      </c>
      <c r="O18">
        <v>0.33700000000000002</v>
      </c>
      <c r="P18">
        <v>0.311</v>
      </c>
      <c r="Q18">
        <v>0.33300000000000002</v>
      </c>
      <c r="R18">
        <v>0.30399999999999999</v>
      </c>
      <c r="S18">
        <v>0.27900000000000003</v>
      </c>
      <c r="T18">
        <v>0.30099999999999999</v>
      </c>
      <c r="U18">
        <v>0.27300000000000002</v>
      </c>
      <c r="V18">
        <v>0.251</v>
      </c>
      <c r="W18">
        <v>0.27100000000000002</v>
      </c>
      <c r="X18">
        <v>0.246</v>
      </c>
      <c r="Y18">
        <v>0.224</v>
      </c>
      <c r="Z18">
        <v>0.24299999999999999</v>
      </c>
      <c r="AA18">
        <v>0.22</v>
      </c>
      <c r="AB18">
        <v>0.2</v>
      </c>
      <c r="AC18">
        <v>0.217</v>
      </c>
      <c r="AD18">
        <v>0.19700000000000001</v>
      </c>
      <c r="AE18" s="6">
        <v>0.17899999999999999</v>
      </c>
    </row>
    <row r="19" spans="2:31">
      <c r="B19" s="88"/>
      <c r="C19">
        <v>-10</v>
      </c>
      <c r="E19">
        <v>0.44</v>
      </c>
      <c r="F19">
        <v>0.40400000000000003</v>
      </c>
      <c r="G19">
        <v>0.374</v>
      </c>
      <c r="H19">
        <v>0.40200000000000002</v>
      </c>
      <c r="I19">
        <v>0.36699999999999999</v>
      </c>
      <c r="J19">
        <v>0.33900000000000002</v>
      </c>
      <c r="K19">
        <v>0.36699999999999999</v>
      </c>
      <c r="L19">
        <v>0.33400000000000002</v>
      </c>
      <c r="M19">
        <v>0.307</v>
      </c>
      <c r="N19">
        <v>0.33400000000000002</v>
      </c>
      <c r="O19">
        <v>0.30299999999999999</v>
      </c>
      <c r="P19">
        <v>0.27800000000000002</v>
      </c>
      <c r="Q19">
        <v>0.30399999999999999</v>
      </c>
      <c r="R19">
        <v>0.27500000000000002</v>
      </c>
      <c r="S19">
        <v>0.251</v>
      </c>
      <c r="T19">
        <v>0.27500000000000002</v>
      </c>
      <c r="U19">
        <v>0.248</v>
      </c>
      <c r="V19">
        <v>0.22600000000000001</v>
      </c>
      <c r="W19">
        <v>0.249</v>
      </c>
      <c r="X19">
        <v>0.224</v>
      </c>
      <c r="Y19">
        <v>0.20399999999999999</v>
      </c>
      <c r="Z19">
        <v>0.224</v>
      </c>
      <c r="AA19">
        <v>0.20200000000000001</v>
      </c>
      <c r="AB19">
        <v>0.183</v>
      </c>
      <c r="AC19">
        <v>0.20100000000000001</v>
      </c>
      <c r="AD19">
        <v>0.18099999999999999</v>
      </c>
      <c r="AE19" s="6">
        <v>0.16400000000000001</v>
      </c>
    </row>
    <row r="20" spans="2:31">
      <c r="B20" s="89"/>
      <c r="C20" s="8">
        <v>-20</v>
      </c>
      <c r="D20" s="8"/>
      <c r="E20" s="8">
        <v>0.40100000000000002</v>
      </c>
      <c r="F20" s="8">
        <v>0.36499999999999999</v>
      </c>
      <c r="G20" s="8">
        <v>0.33600000000000002</v>
      </c>
      <c r="H20" s="8">
        <v>0.36699999999999999</v>
      </c>
      <c r="I20" s="8">
        <v>0.33300000000000002</v>
      </c>
      <c r="J20" s="8">
        <v>0.30499999999999999</v>
      </c>
      <c r="K20" s="8">
        <v>0.33600000000000002</v>
      </c>
      <c r="L20" s="8">
        <v>0.30299999999999999</v>
      </c>
      <c r="M20" s="8">
        <v>0.27700000000000002</v>
      </c>
      <c r="N20" s="8">
        <v>0.307</v>
      </c>
      <c r="O20" s="8">
        <v>0.27600000000000002</v>
      </c>
      <c r="P20" s="8">
        <v>0.251</v>
      </c>
      <c r="Q20" s="8">
        <v>0.27900000000000003</v>
      </c>
      <c r="R20" s="8">
        <v>0.251</v>
      </c>
      <c r="S20" s="8">
        <v>0.22900000000000001</v>
      </c>
      <c r="T20" s="8">
        <v>0.254</v>
      </c>
      <c r="U20" s="8">
        <v>0.22800000000000001</v>
      </c>
      <c r="V20" s="8">
        <v>0.20599999999999999</v>
      </c>
      <c r="W20" s="8">
        <v>0.23</v>
      </c>
      <c r="X20" s="8">
        <v>0.20599999999999999</v>
      </c>
      <c r="Y20" s="8">
        <v>0.186</v>
      </c>
      <c r="Z20" s="8">
        <v>0.20799999999999999</v>
      </c>
      <c r="AA20" s="8">
        <v>0.186</v>
      </c>
      <c r="AB20" s="8">
        <v>0.16800000000000001</v>
      </c>
      <c r="AC20" s="8">
        <v>0.187</v>
      </c>
      <c r="AD20" s="8">
        <v>0.16800000000000001</v>
      </c>
      <c r="AE20" s="9">
        <v>0.151</v>
      </c>
    </row>
    <row r="21" spans="2:31">
      <c r="B21" s="87">
        <v>-10</v>
      </c>
      <c r="C21" s="3">
        <v>20</v>
      </c>
      <c r="D21" s="3"/>
      <c r="E21" s="3">
        <v>1</v>
      </c>
      <c r="F21" s="3">
        <v>1</v>
      </c>
      <c r="G21" s="3">
        <v>1</v>
      </c>
      <c r="H21" s="3">
        <v>0.76800000000000002</v>
      </c>
      <c r="I21" s="3">
        <v>0.74</v>
      </c>
      <c r="J21" s="3">
        <v>0.71499999999999997</v>
      </c>
      <c r="K21" s="3">
        <v>0.67400000000000004</v>
      </c>
      <c r="L21" s="3">
        <v>0.64</v>
      </c>
      <c r="M21" s="3">
        <v>0.60899999999999999</v>
      </c>
      <c r="N21" s="3">
        <v>0.60099999999999998</v>
      </c>
      <c r="O21" s="3">
        <v>0.56399999999999995</v>
      </c>
      <c r="P21" s="3">
        <v>0.53100000000000003</v>
      </c>
      <c r="Q21" s="3">
        <v>0.53900000000000003</v>
      </c>
      <c r="R21" s="3">
        <v>0.502</v>
      </c>
      <c r="S21" s="3">
        <v>0.46800000000000003</v>
      </c>
      <c r="T21" s="3">
        <v>0.48599999999999999</v>
      </c>
      <c r="U21" s="3">
        <v>0.44800000000000001</v>
      </c>
      <c r="V21" s="3">
        <v>0.41399999999999998</v>
      </c>
      <c r="W21" s="3">
        <v>0.438</v>
      </c>
      <c r="X21" s="3">
        <v>0.40100000000000002</v>
      </c>
      <c r="Y21" s="3">
        <v>0.36799999999999999</v>
      </c>
      <c r="Z21" s="3">
        <v>0.39400000000000002</v>
      </c>
      <c r="AA21" s="3">
        <v>0.35899999999999999</v>
      </c>
      <c r="AB21" s="3">
        <v>0.32700000000000001</v>
      </c>
      <c r="AC21" s="3">
        <v>0.35499999999999998</v>
      </c>
      <c r="AD21" s="3">
        <v>0.32200000000000001</v>
      </c>
      <c r="AE21" s="4">
        <v>0.29099999999999998</v>
      </c>
    </row>
    <row r="22" spans="2:31">
      <c r="B22" s="88"/>
      <c r="C22">
        <v>10</v>
      </c>
      <c r="E22">
        <v>0.64500000000000002</v>
      </c>
      <c r="F22">
        <v>0.60499999999999998</v>
      </c>
      <c r="G22">
        <v>0.57199999999999995</v>
      </c>
      <c r="H22">
        <v>0.59099999999999997</v>
      </c>
      <c r="I22">
        <v>0.55000000000000004</v>
      </c>
      <c r="J22">
        <v>0.51500000000000001</v>
      </c>
      <c r="K22">
        <v>0.54100000000000004</v>
      </c>
      <c r="L22">
        <v>0.5</v>
      </c>
      <c r="M22">
        <v>0.46500000000000002</v>
      </c>
      <c r="N22">
        <v>0.496</v>
      </c>
      <c r="O22">
        <v>0.45500000000000002</v>
      </c>
      <c r="P22">
        <v>0.42</v>
      </c>
      <c r="Q22">
        <v>0.45400000000000001</v>
      </c>
      <c r="R22">
        <v>0.41399999999999998</v>
      </c>
      <c r="S22">
        <v>0.379</v>
      </c>
      <c r="T22">
        <v>0.41499999999999998</v>
      </c>
      <c r="U22">
        <v>0.375</v>
      </c>
      <c r="V22">
        <v>0.34200000000000003</v>
      </c>
      <c r="W22">
        <v>0.378</v>
      </c>
      <c r="X22">
        <v>0.34100000000000003</v>
      </c>
      <c r="Y22">
        <v>0.309</v>
      </c>
      <c r="Z22">
        <v>0.34499999999999997</v>
      </c>
      <c r="AA22">
        <v>0.31</v>
      </c>
      <c r="AB22">
        <v>0.27800000000000002</v>
      </c>
      <c r="AC22">
        <v>0.313</v>
      </c>
      <c r="AD22">
        <v>0.28000000000000003</v>
      </c>
      <c r="AE22" s="6">
        <v>0.251</v>
      </c>
    </row>
    <row r="23" spans="2:31">
      <c r="B23" s="88"/>
      <c r="C23">
        <v>0</v>
      </c>
      <c r="E23">
        <v>0.55100000000000005</v>
      </c>
      <c r="F23">
        <v>0.50800000000000001</v>
      </c>
      <c r="G23">
        <v>0.47199999999999998</v>
      </c>
      <c r="H23">
        <v>0.51</v>
      </c>
      <c r="I23">
        <v>0.46700000000000003</v>
      </c>
      <c r="J23">
        <v>0.43099999999999999</v>
      </c>
      <c r="K23">
        <v>0.47099999999999997</v>
      </c>
      <c r="L23">
        <v>0.42799999999999999</v>
      </c>
      <c r="M23">
        <v>0.39300000000000002</v>
      </c>
      <c r="N23">
        <v>0.435</v>
      </c>
      <c r="O23">
        <v>0.39300000000000002</v>
      </c>
      <c r="P23">
        <v>0.35799999999999998</v>
      </c>
      <c r="Q23">
        <v>0.40100000000000002</v>
      </c>
      <c r="R23">
        <v>0.36</v>
      </c>
      <c r="S23">
        <v>0.32600000000000001</v>
      </c>
      <c r="T23">
        <v>0.36799999999999999</v>
      </c>
      <c r="U23">
        <v>0.33</v>
      </c>
      <c r="V23">
        <v>0.29699999999999999</v>
      </c>
      <c r="W23">
        <v>0.33800000000000002</v>
      </c>
      <c r="X23">
        <v>0.30199999999999999</v>
      </c>
      <c r="Y23">
        <v>0.27</v>
      </c>
      <c r="Z23">
        <v>0.31</v>
      </c>
      <c r="AA23">
        <v>0.27600000000000002</v>
      </c>
      <c r="AB23">
        <v>0.245</v>
      </c>
      <c r="AC23">
        <v>0.28299999999999997</v>
      </c>
      <c r="AD23">
        <v>0.251</v>
      </c>
      <c r="AE23" s="6">
        <v>0.222</v>
      </c>
    </row>
    <row r="24" spans="2:31">
      <c r="B24" s="88"/>
      <c r="C24">
        <v>-10</v>
      </c>
      <c r="E24">
        <v>0.48899999999999999</v>
      </c>
      <c r="F24">
        <v>0.44500000000000001</v>
      </c>
      <c r="G24">
        <v>0.40899999999999997</v>
      </c>
      <c r="H24">
        <v>0.45400000000000001</v>
      </c>
      <c r="I24">
        <v>0.41</v>
      </c>
      <c r="J24">
        <v>0.375</v>
      </c>
      <c r="K24">
        <v>0.42099999999999999</v>
      </c>
      <c r="L24">
        <v>0.378</v>
      </c>
      <c r="M24">
        <v>0.34300000000000003</v>
      </c>
      <c r="N24">
        <v>0.39</v>
      </c>
      <c r="O24">
        <v>0.34899999999999998</v>
      </c>
      <c r="P24">
        <v>0.315</v>
      </c>
      <c r="Q24">
        <v>0.36</v>
      </c>
      <c r="R24">
        <v>0.32100000000000001</v>
      </c>
      <c r="S24">
        <v>0.28799999999999998</v>
      </c>
      <c r="T24">
        <v>0.33300000000000002</v>
      </c>
      <c r="U24">
        <v>0.29499999999999998</v>
      </c>
      <c r="V24">
        <v>0.26400000000000001</v>
      </c>
      <c r="W24">
        <v>0.307</v>
      </c>
      <c r="X24">
        <v>0.27100000000000002</v>
      </c>
      <c r="Y24">
        <v>0.24099999999999999</v>
      </c>
      <c r="Z24">
        <v>0.28199999999999997</v>
      </c>
      <c r="AA24">
        <v>0.249</v>
      </c>
      <c r="AB24">
        <v>0.22</v>
      </c>
      <c r="AC24">
        <v>0.25900000000000001</v>
      </c>
      <c r="AD24">
        <v>0.22700000000000001</v>
      </c>
      <c r="AE24" s="6">
        <v>0.2</v>
      </c>
    </row>
    <row r="25" spans="2:31">
      <c r="B25" s="89"/>
      <c r="C25" s="8">
        <v>-20</v>
      </c>
      <c r="D25" s="8"/>
      <c r="E25" s="8">
        <v>0.44</v>
      </c>
      <c r="F25" s="8">
        <v>0.39600000000000002</v>
      </c>
      <c r="G25" s="8">
        <v>0.36</v>
      </c>
      <c r="H25" s="8">
        <v>0.40899999999999997</v>
      </c>
      <c r="I25" s="8">
        <v>0.36599999999999999</v>
      </c>
      <c r="J25" s="8">
        <v>0.33100000000000002</v>
      </c>
      <c r="K25" s="8">
        <v>0.38</v>
      </c>
      <c r="L25" s="8">
        <v>0.33800000000000002</v>
      </c>
      <c r="M25" s="8">
        <v>0.30399999999999999</v>
      </c>
      <c r="N25" s="8">
        <v>0.35199999999999998</v>
      </c>
      <c r="O25" s="8">
        <v>0.312</v>
      </c>
      <c r="P25" s="8">
        <v>0.27900000000000003</v>
      </c>
      <c r="Q25" s="8">
        <v>0.32600000000000001</v>
      </c>
      <c r="R25" s="8">
        <v>0.28799999999999998</v>
      </c>
      <c r="S25" s="8">
        <v>0.25600000000000001</v>
      </c>
      <c r="T25" s="8">
        <v>0.30199999999999999</v>
      </c>
      <c r="U25" s="8">
        <v>0.26600000000000001</v>
      </c>
      <c r="V25" s="8">
        <v>0.23499999999999999</v>
      </c>
      <c r="W25" s="8">
        <v>0.27900000000000003</v>
      </c>
      <c r="X25" s="8">
        <v>0.245</v>
      </c>
      <c r="Y25" s="8">
        <v>0.216</v>
      </c>
      <c r="Z25" s="8">
        <v>0.25700000000000001</v>
      </c>
      <c r="AA25" s="8">
        <v>0.22500000000000001</v>
      </c>
      <c r="AB25" s="8">
        <v>0.19700000000000001</v>
      </c>
      <c r="AC25" s="8">
        <v>0.23699999999999999</v>
      </c>
      <c r="AD25" s="8">
        <v>0.20699999999999999</v>
      </c>
      <c r="AE25" s="9">
        <v>0.18</v>
      </c>
    </row>
    <row r="26" spans="2:31">
      <c r="B26" s="87">
        <v>-20</v>
      </c>
      <c r="C26" s="3">
        <v>20</v>
      </c>
      <c r="D26" s="3"/>
      <c r="E26" s="3">
        <v>1.1319999999999999</v>
      </c>
      <c r="F26" s="3">
        <v>1.1319999999999999</v>
      </c>
      <c r="G26" s="3">
        <v>1.1319999999999999</v>
      </c>
      <c r="H26" s="3">
        <v>0.88</v>
      </c>
      <c r="I26" s="3">
        <v>0.84499999999999997</v>
      </c>
      <c r="J26" s="3">
        <v>0.81200000000000006</v>
      </c>
      <c r="K26" s="3">
        <v>0.78300000000000003</v>
      </c>
      <c r="L26" s="3">
        <v>0.73899999999999999</v>
      </c>
      <c r="M26" s="3">
        <v>0.69799999999999995</v>
      </c>
      <c r="N26" s="3">
        <v>0.70899999999999996</v>
      </c>
      <c r="O26" s="3">
        <v>0.66</v>
      </c>
      <c r="P26" s="3">
        <v>0.61499999999999999</v>
      </c>
      <c r="Q26" s="3">
        <v>0.64600000000000002</v>
      </c>
      <c r="R26" s="3">
        <v>0.59499999999999997</v>
      </c>
      <c r="S26" s="3">
        <v>0.54700000000000004</v>
      </c>
      <c r="T26" s="3">
        <v>0.59099999999999997</v>
      </c>
      <c r="U26" s="3">
        <v>0.53800000000000003</v>
      </c>
      <c r="V26" s="3">
        <v>0.49</v>
      </c>
      <c r="W26" s="3">
        <v>0.54100000000000004</v>
      </c>
      <c r="X26" s="3">
        <v>0.48899999999999999</v>
      </c>
      <c r="Y26" s="3">
        <v>0.44</v>
      </c>
      <c r="Z26" s="3">
        <v>0.496</v>
      </c>
      <c r="AA26" s="3">
        <v>0.44400000000000001</v>
      </c>
      <c r="AB26" s="3">
        <v>0.39500000000000002</v>
      </c>
      <c r="AC26" s="3">
        <v>0.45400000000000001</v>
      </c>
      <c r="AD26" s="3">
        <v>0.40400000000000003</v>
      </c>
      <c r="AE26" s="4">
        <v>0.35599999999999998</v>
      </c>
    </row>
    <row r="27" spans="2:31">
      <c r="B27" s="88"/>
      <c r="C27">
        <v>10</v>
      </c>
      <c r="E27">
        <v>0.72099999999999997</v>
      </c>
      <c r="F27">
        <v>0.67300000000000004</v>
      </c>
      <c r="G27">
        <v>0.63</v>
      </c>
      <c r="H27">
        <v>0.67</v>
      </c>
      <c r="I27">
        <v>0.61799999999999999</v>
      </c>
      <c r="J27">
        <v>0.57299999999999995</v>
      </c>
      <c r="K27">
        <v>0.622</v>
      </c>
      <c r="L27">
        <v>0.56899999999999995</v>
      </c>
      <c r="M27">
        <v>0.52200000000000002</v>
      </c>
      <c r="N27">
        <v>0.57799999999999996</v>
      </c>
      <c r="O27">
        <v>0.52400000000000002</v>
      </c>
      <c r="P27">
        <v>0.47699999999999998</v>
      </c>
      <c r="Q27">
        <v>0.53700000000000003</v>
      </c>
      <c r="R27">
        <v>0.48299999999999998</v>
      </c>
      <c r="S27">
        <v>0.435</v>
      </c>
      <c r="T27">
        <v>0.499</v>
      </c>
      <c r="U27">
        <v>0.44500000000000001</v>
      </c>
      <c r="V27">
        <v>0.39700000000000002</v>
      </c>
      <c r="W27">
        <v>0.46200000000000002</v>
      </c>
      <c r="X27">
        <v>0.41</v>
      </c>
      <c r="Y27">
        <v>0.36199999999999999</v>
      </c>
      <c r="Z27">
        <v>0.42799999999999999</v>
      </c>
      <c r="AA27">
        <v>0.377</v>
      </c>
      <c r="AB27">
        <v>0.33</v>
      </c>
      <c r="AC27">
        <v>0.39600000000000002</v>
      </c>
      <c r="AD27">
        <v>0.34699999999999998</v>
      </c>
      <c r="AE27" s="6">
        <v>0.30099999999999999</v>
      </c>
    </row>
    <row r="28" spans="2:31">
      <c r="B28" s="88"/>
      <c r="C28">
        <v>0</v>
      </c>
      <c r="E28">
        <v>0.60899999999999999</v>
      </c>
      <c r="F28">
        <v>0.55600000000000005</v>
      </c>
      <c r="G28">
        <v>0.51100000000000001</v>
      </c>
      <c r="H28">
        <v>0.57099999999999995</v>
      </c>
      <c r="I28">
        <v>0.51700000000000002</v>
      </c>
      <c r="J28">
        <v>0.47</v>
      </c>
      <c r="K28">
        <v>0.53500000000000003</v>
      </c>
      <c r="L28">
        <v>0.48</v>
      </c>
      <c r="M28">
        <v>0.433</v>
      </c>
      <c r="N28">
        <v>0.5</v>
      </c>
      <c r="O28">
        <v>0.44500000000000001</v>
      </c>
      <c r="P28">
        <v>0.39900000000000002</v>
      </c>
      <c r="Q28">
        <v>0.46800000000000003</v>
      </c>
      <c r="R28">
        <v>0.41399999999999998</v>
      </c>
      <c r="S28">
        <v>0.36699999999999999</v>
      </c>
      <c r="T28">
        <v>0.437</v>
      </c>
      <c r="U28">
        <v>0.38400000000000001</v>
      </c>
      <c r="V28">
        <v>0.33800000000000002</v>
      </c>
      <c r="W28">
        <v>0.40699999999999997</v>
      </c>
      <c r="X28">
        <v>0.35599999999999998</v>
      </c>
      <c r="Y28">
        <v>0.31</v>
      </c>
      <c r="Z28">
        <v>0.379</v>
      </c>
      <c r="AA28">
        <v>0.33</v>
      </c>
      <c r="AB28">
        <v>0.28499999999999998</v>
      </c>
      <c r="AC28">
        <v>0.35299999999999998</v>
      </c>
      <c r="AD28">
        <v>0.30499999999999999</v>
      </c>
      <c r="AE28" s="6">
        <v>0.26100000000000001</v>
      </c>
    </row>
    <row r="29" spans="2:31">
      <c r="B29" s="88"/>
      <c r="C29">
        <v>-10</v>
      </c>
      <c r="E29">
        <v>0.53200000000000003</v>
      </c>
      <c r="F29">
        <v>0.47899999999999998</v>
      </c>
      <c r="G29">
        <v>0.433</v>
      </c>
      <c r="H29">
        <v>0.501</v>
      </c>
      <c r="I29">
        <v>0.44600000000000001</v>
      </c>
      <c r="J29">
        <v>0.40100000000000002</v>
      </c>
      <c r="K29">
        <v>0.47</v>
      </c>
      <c r="L29">
        <v>0.41599999999999998</v>
      </c>
      <c r="M29">
        <v>0.371</v>
      </c>
      <c r="N29">
        <v>0.442</v>
      </c>
      <c r="O29">
        <v>0.38800000000000001</v>
      </c>
      <c r="P29">
        <v>0.34300000000000003</v>
      </c>
      <c r="Q29">
        <v>0.41399999999999998</v>
      </c>
      <c r="R29">
        <v>0.36199999999999999</v>
      </c>
      <c r="S29">
        <v>0.317</v>
      </c>
      <c r="T29">
        <v>0.38800000000000001</v>
      </c>
      <c r="U29">
        <v>0.33700000000000002</v>
      </c>
      <c r="V29">
        <v>0.29299999999999998</v>
      </c>
      <c r="W29">
        <v>0.36299999999999999</v>
      </c>
      <c r="X29">
        <v>0.314</v>
      </c>
      <c r="Y29">
        <v>0.27</v>
      </c>
      <c r="Z29">
        <v>0.33900000000000002</v>
      </c>
      <c r="AA29">
        <v>0.29199999999999998</v>
      </c>
      <c r="AB29">
        <v>0.249</v>
      </c>
      <c r="AC29">
        <v>0.316</v>
      </c>
      <c r="AD29">
        <v>0.27100000000000002</v>
      </c>
      <c r="AE29" s="6">
        <v>0.22900000000000001</v>
      </c>
    </row>
    <row r="30" spans="2:31">
      <c r="B30" s="89"/>
      <c r="C30" s="8">
        <v>-20</v>
      </c>
      <c r="D30" s="8"/>
      <c r="E30" s="8">
        <v>0.47</v>
      </c>
      <c r="F30" s="8">
        <v>0.41599999999999998</v>
      </c>
      <c r="G30" s="8">
        <v>0.373</v>
      </c>
      <c r="H30" s="8">
        <v>0.442</v>
      </c>
      <c r="I30" s="8">
        <v>0.38900000000000001</v>
      </c>
      <c r="J30" s="8">
        <v>0.34499999999999997</v>
      </c>
      <c r="K30" s="8">
        <v>0.41599999999999998</v>
      </c>
      <c r="L30" s="8">
        <v>0.36299999999999999</v>
      </c>
      <c r="M30" s="8">
        <v>0.32</v>
      </c>
      <c r="N30" s="8">
        <v>0.39100000000000001</v>
      </c>
      <c r="O30" s="8">
        <v>0.33900000000000002</v>
      </c>
      <c r="P30" s="8">
        <v>0.29599999999999999</v>
      </c>
      <c r="Q30" s="8">
        <v>0.36699999999999999</v>
      </c>
      <c r="R30" s="8">
        <v>0.317</v>
      </c>
      <c r="S30" s="8">
        <v>0.27500000000000002</v>
      </c>
      <c r="T30" s="8">
        <v>0.34499999999999997</v>
      </c>
      <c r="U30" s="8">
        <v>0.29599999999999999</v>
      </c>
      <c r="V30" s="8">
        <v>0.254</v>
      </c>
      <c r="W30" s="8">
        <v>0.32300000000000001</v>
      </c>
      <c r="X30" s="8">
        <v>0.27600000000000002</v>
      </c>
      <c r="Y30" s="8">
        <v>0.23499999999999999</v>
      </c>
      <c r="Z30" s="8">
        <v>0.30299999999999999</v>
      </c>
      <c r="AA30" s="8">
        <v>0.25800000000000001</v>
      </c>
      <c r="AB30" s="8">
        <v>0.218</v>
      </c>
      <c r="AC30" s="8">
        <v>0.28299999999999997</v>
      </c>
      <c r="AD30" s="8">
        <v>0.24</v>
      </c>
      <c r="AE30" s="9">
        <v>0.20100000000000001</v>
      </c>
    </row>
    <row r="34" spans="5:8" ht="18" customHeight="1">
      <c r="E34" s="19"/>
      <c r="F34" s="19"/>
      <c r="G34" s="19"/>
      <c r="H34" s="19"/>
    </row>
    <row r="35" spans="5:8" ht="18" customHeight="1">
      <c r="E35" s="19"/>
      <c r="F35" s="19"/>
      <c r="G35" s="19"/>
      <c r="H35" s="19"/>
    </row>
    <row r="36" spans="5:8" ht="18" customHeight="1">
      <c r="E36" s="19"/>
      <c r="F36" s="19"/>
      <c r="G36" s="19"/>
      <c r="H36" s="19"/>
    </row>
    <row r="37" spans="5:8" ht="18" customHeight="1">
      <c r="E37" s="19"/>
      <c r="F37" s="19"/>
      <c r="G37" s="19"/>
      <c r="H37" s="19"/>
    </row>
    <row r="38" spans="5:8" ht="15" customHeight="1">
      <c r="E38" s="19"/>
      <c r="F38" s="19"/>
      <c r="G38" s="19"/>
      <c r="H38" s="19"/>
    </row>
  </sheetData>
  <mergeCells count="7">
    <mergeCell ref="B26:B30"/>
    <mergeCell ref="B21:B25"/>
    <mergeCell ref="C4:C5"/>
    <mergeCell ref="B4:B5"/>
    <mergeCell ref="B6:B10"/>
    <mergeCell ref="B11:B15"/>
    <mergeCell ref="B16:B20"/>
  </mergeCells>
  <phoneticPr fontId="2" type="noConversion"/>
  <dataValidations disablePrompts="1" count="1">
    <dataValidation type="list" allowBlank="1" showInputMessage="1" showErrorMessage="1" sqref="I37" xr:uid="{40FBD659-DFEF-4149-B21A-118027E55B2A}">
      <formula1>$Q$5:$S$5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8782-49BD-6C42-BD9F-AC68A449CD31}">
  <sheetPr codeName="Tabelle4"/>
  <dimension ref="B2:Y14"/>
  <sheetViews>
    <sheetView showGridLines="0" showRowColHeaders="0" zoomScale="113" workbookViewId="0">
      <selection activeCell="H43" sqref="H43"/>
    </sheetView>
  </sheetViews>
  <sheetFormatPr baseColWidth="10" defaultColWidth="11.5546875" defaultRowHeight="14.4"/>
  <cols>
    <col min="4" max="4" width="4.44140625" bestFit="1" customWidth="1"/>
  </cols>
  <sheetData>
    <row r="2" spans="2:25" ht="15.6">
      <c r="B2" s="12" t="s">
        <v>10</v>
      </c>
    </row>
    <row r="3" spans="2:25">
      <c r="E3" s="14" t="str">
        <f>E4&amp;E5</f>
        <v>20φ</v>
      </c>
      <c r="F3" s="14" t="str">
        <f t="shared" ref="F3:O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si="0"/>
        <v>22.51/3 φ</v>
      </c>
      <c r="J3" s="14" t="str">
        <f t="shared" si="0"/>
        <v>22.52/3 φ</v>
      </c>
      <c r="K3" s="14" t="str">
        <f t="shared" si="0"/>
        <v>25φ</v>
      </c>
      <c r="L3" s="14" t="str">
        <f t="shared" si="0"/>
        <v>251/3 φ</v>
      </c>
      <c r="M3" s="14" t="str">
        <f t="shared" si="0"/>
        <v>252/3 φ</v>
      </c>
      <c r="N3" s="14" t="str">
        <f t="shared" si="0"/>
        <v>27.5φ</v>
      </c>
      <c r="O3" s="14" t="str">
        <f t="shared" si="0"/>
        <v>27.51/3 φ</v>
      </c>
      <c r="P3" s="14" t="str">
        <f>P4&amp;P5</f>
        <v>27.52/3 φ</v>
      </c>
      <c r="Q3" s="14" t="str">
        <f t="shared" ref="Q3" si="1">Q4&amp;Q5</f>
        <v>30φ</v>
      </c>
      <c r="R3" s="14" t="str">
        <f t="shared" ref="R3" si="2">R4&amp;R5</f>
        <v>301/3 φ</v>
      </c>
      <c r="S3" s="14" t="str">
        <f t="shared" ref="S3" si="3">S4&amp;S5</f>
        <v>302/3 φ</v>
      </c>
      <c r="T3" s="14" t="str">
        <f t="shared" ref="T3" si="4">T4&amp;T5</f>
        <v>32.5φ</v>
      </c>
      <c r="U3" s="14" t="str">
        <f t="shared" ref="U3" si="5">U4&amp;U5</f>
        <v>32.51/3 φ</v>
      </c>
      <c r="V3" s="14" t="str">
        <f t="shared" ref="V3" si="6">V4&amp;V5</f>
        <v>32.52/3 φ</v>
      </c>
      <c r="W3" s="14" t="str">
        <f t="shared" ref="W3" si="7">W4&amp;W5</f>
        <v>35φ</v>
      </c>
      <c r="X3" s="14" t="str">
        <f t="shared" ref="X3" si="8">X4&amp;X5</f>
        <v>351/3 φ</v>
      </c>
      <c r="Y3" s="14" t="str">
        <f t="shared" ref="Y3" si="9">Y4&amp;Y5</f>
        <v>352/3 φ</v>
      </c>
    </row>
    <row r="4" spans="2:25">
      <c r="B4" s="90" t="s">
        <v>8</v>
      </c>
      <c r="C4" s="90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</row>
    <row r="5" spans="2:25">
      <c r="B5" s="92"/>
      <c r="C5" s="92"/>
      <c r="D5" s="11" t="s">
        <v>6</v>
      </c>
      <c r="E5" s="10" t="s">
        <v>39</v>
      </c>
      <c r="F5" s="10" t="s">
        <v>38</v>
      </c>
      <c r="G5" s="10" t="s">
        <v>37</v>
      </c>
      <c r="H5" s="10" t="s">
        <v>39</v>
      </c>
      <c r="I5" s="10" t="s">
        <v>38</v>
      </c>
      <c r="J5" s="10" t="s">
        <v>37</v>
      </c>
      <c r="K5" s="10" t="s">
        <v>39</v>
      </c>
      <c r="L5" s="10" t="s">
        <v>38</v>
      </c>
      <c r="M5" s="10" t="s">
        <v>37</v>
      </c>
      <c r="N5" s="10" t="s">
        <v>39</v>
      </c>
      <c r="O5" s="10" t="s">
        <v>38</v>
      </c>
      <c r="P5" s="10" t="s">
        <v>37</v>
      </c>
      <c r="Q5" s="10" t="s">
        <v>39</v>
      </c>
      <c r="R5" s="10" t="s">
        <v>38</v>
      </c>
      <c r="S5" s="10" t="s">
        <v>37</v>
      </c>
      <c r="T5" s="10" t="s">
        <v>39</v>
      </c>
      <c r="U5" s="10" t="s">
        <v>38</v>
      </c>
      <c r="V5" s="10" t="s">
        <v>37</v>
      </c>
      <c r="W5" s="10" t="s">
        <v>39</v>
      </c>
      <c r="X5" s="10" t="s">
        <v>38</v>
      </c>
      <c r="Y5" s="10" t="s">
        <v>37</v>
      </c>
    </row>
    <row r="6" spans="2:25">
      <c r="B6" s="2">
        <v>0</v>
      </c>
      <c r="C6" s="3">
        <v>0</v>
      </c>
      <c r="D6" s="3"/>
      <c r="E6" s="3">
        <v>2.04</v>
      </c>
      <c r="F6" s="3">
        <v>2.3980000000000001</v>
      </c>
      <c r="G6" s="3">
        <v>2.8109999999999999</v>
      </c>
      <c r="H6" s="3">
        <v>2.2400000000000002</v>
      </c>
      <c r="I6" s="3">
        <v>2.7149999999999999</v>
      </c>
      <c r="J6" s="3">
        <v>3.2959999999999998</v>
      </c>
      <c r="K6" s="3">
        <v>2.464</v>
      </c>
      <c r="L6" s="3">
        <v>3.0910000000000002</v>
      </c>
      <c r="M6" s="3">
        <v>3.9079999999999999</v>
      </c>
      <c r="N6" s="3">
        <v>2.7160000000000002</v>
      </c>
      <c r="O6" s="3">
        <v>3.5390000000000001</v>
      </c>
      <c r="P6" s="3">
        <v>4.6970000000000001</v>
      </c>
      <c r="Q6" s="3">
        <v>3</v>
      </c>
      <c r="R6" s="3">
        <v>4.08</v>
      </c>
      <c r="S6" s="3">
        <v>5.7370000000000001</v>
      </c>
      <c r="T6" s="3">
        <v>3.3220000000000001</v>
      </c>
      <c r="U6" s="3">
        <v>4.742</v>
      </c>
      <c r="V6" s="3">
        <v>7.1520000000000001</v>
      </c>
      <c r="W6" s="3">
        <v>3.69</v>
      </c>
      <c r="X6" s="3">
        <v>5.5629999999999997</v>
      </c>
      <c r="Y6" s="4">
        <v>9.1470000000000002</v>
      </c>
    </row>
    <row r="7" spans="2:25">
      <c r="B7" s="5">
        <v>0</v>
      </c>
      <c r="C7">
        <v>-10</v>
      </c>
      <c r="E7">
        <v>1.5509999999999999</v>
      </c>
      <c r="F7">
        <v>1.714</v>
      </c>
      <c r="G7">
        <v>1.885</v>
      </c>
      <c r="H7">
        <v>1.6930000000000001</v>
      </c>
      <c r="I7">
        <v>1.9179999999999999</v>
      </c>
      <c r="J7">
        <v>2.165</v>
      </c>
      <c r="K7">
        <v>1.8480000000000001</v>
      </c>
      <c r="L7">
        <v>2.1509999999999998</v>
      </c>
      <c r="M7">
        <v>2.5019999999999998</v>
      </c>
      <c r="N7">
        <v>2.0169999999999999</v>
      </c>
      <c r="O7">
        <v>2.42</v>
      </c>
      <c r="P7">
        <v>2.9140000000000001</v>
      </c>
      <c r="Q7">
        <v>2.2040000000000002</v>
      </c>
      <c r="R7">
        <v>2.7330000000000001</v>
      </c>
      <c r="S7">
        <v>3.4260000000000002</v>
      </c>
      <c r="T7">
        <v>2.4119999999999999</v>
      </c>
      <c r="U7">
        <v>3.101</v>
      </c>
      <c r="V7">
        <v>4.0750000000000002</v>
      </c>
      <c r="W7">
        <v>2.6429999999999998</v>
      </c>
      <c r="X7">
        <v>3.5390000000000001</v>
      </c>
      <c r="Y7" s="6">
        <v>4.92</v>
      </c>
    </row>
    <row r="8" spans="2:25">
      <c r="B8" s="7">
        <v>0</v>
      </c>
      <c r="C8" s="8">
        <v>-20</v>
      </c>
      <c r="D8" s="8"/>
      <c r="E8" s="8">
        <v>0.88300000000000001</v>
      </c>
      <c r="F8" s="8">
        <v>0.88300000000000001</v>
      </c>
      <c r="G8" s="8">
        <v>0.88300000000000001</v>
      </c>
      <c r="H8" s="8">
        <v>1.1359999999999999</v>
      </c>
      <c r="I8" s="8">
        <v>1.19</v>
      </c>
      <c r="J8" s="8">
        <v>1.242</v>
      </c>
      <c r="K8" s="8">
        <v>1.2769999999999999</v>
      </c>
      <c r="L8" s="8">
        <v>1.3740000000000001</v>
      </c>
      <c r="M8" s="8">
        <v>1.4750000000000001</v>
      </c>
      <c r="N8" s="8">
        <v>1.411</v>
      </c>
      <c r="O8" s="8">
        <v>1.56</v>
      </c>
      <c r="P8" s="8">
        <v>1.722</v>
      </c>
      <c r="Q8" s="8">
        <v>1.548</v>
      </c>
      <c r="R8" s="8">
        <v>1.76</v>
      </c>
      <c r="S8" s="8">
        <v>2.0030000000000001</v>
      </c>
      <c r="T8" s="8">
        <v>1.6930000000000001</v>
      </c>
      <c r="U8" s="8">
        <v>1.984</v>
      </c>
      <c r="V8" s="8">
        <v>2.3370000000000002</v>
      </c>
      <c r="W8" s="8">
        <v>1.8480000000000001</v>
      </c>
      <c r="X8" s="8">
        <v>2.2370000000000001</v>
      </c>
      <c r="Y8" s="9">
        <v>2.742</v>
      </c>
    </row>
    <row r="9" spans="2:25">
      <c r="B9" s="2">
        <v>-10</v>
      </c>
      <c r="C9" s="3">
        <v>0</v>
      </c>
      <c r="D9" s="3"/>
      <c r="E9" s="3">
        <v>1.8149999999999999</v>
      </c>
      <c r="F9" s="3">
        <v>2.1139999999999999</v>
      </c>
      <c r="G9" s="3">
        <v>2.4420000000000002</v>
      </c>
      <c r="H9" s="3">
        <v>1.962</v>
      </c>
      <c r="I9" s="3">
        <v>2.347</v>
      </c>
      <c r="J9" s="3">
        <v>2.79</v>
      </c>
      <c r="K9" s="3">
        <v>2.1230000000000002</v>
      </c>
      <c r="L9" s="3">
        <v>2.6160000000000001</v>
      </c>
      <c r="M9" s="3">
        <v>3.2130000000000001</v>
      </c>
      <c r="N9" s="3">
        <v>2.3010000000000002</v>
      </c>
      <c r="O9" s="3">
        <v>2.9279999999999999</v>
      </c>
      <c r="P9" s="3">
        <v>3.7330000000000001</v>
      </c>
      <c r="Q9" s="3">
        <v>2.4969999999999999</v>
      </c>
      <c r="R9" s="3">
        <v>3.2919999999999998</v>
      </c>
      <c r="S9" s="3">
        <v>4.383</v>
      </c>
      <c r="T9" s="3">
        <v>2.714</v>
      </c>
      <c r="U9" s="3">
        <v>3.7210000000000001</v>
      </c>
      <c r="V9" s="3">
        <v>5.2110000000000003</v>
      </c>
      <c r="W9" s="3">
        <v>2.9569999999999999</v>
      </c>
      <c r="X9" s="3">
        <v>4.2329999999999997</v>
      </c>
      <c r="Y9" s="4">
        <v>6.2919999999999998</v>
      </c>
    </row>
    <row r="10" spans="2:25">
      <c r="B10" s="5">
        <v>-10</v>
      </c>
      <c r="C10">
        <v>-10</v>
      </c>
      <c r="E10">
        <v>1.387</v>
      </c>
      <c r="F10">
        <v>1.526</v>
      </c>
      <c r="G10">
        <v>1.667</v>
      </c>
      <c r="H10">
        <v>1.4930000000000001</v>
      </c>
      <c r="I10">
        <v>1.681</v>
      </c>
      <c r="J10">
        <v>1.879</v>
      </c>
      <c r="K10">
        <v>1.607</v>
      </c>
      <c r="L10">
        <v>1.8540000000000001</v>
      </c>
      <c r="M10">
        <v>2.125</v>
      </c>
      <c r="N10">
        <v>1.7290000000000001</v>
      </c>
      <c r="O10">
        <v>2.0489999999999999</v>
      </c>
      <c r="P10">
        <v>2.415</v>
      </c>
      <c r="Q10">
        <v>1.8620000000000001</v>
      </c>
      <c r="R10">
        <v>2.27</v>
      </c>
      <c r="S10">
        <v>2.7639999999999998</v>
      </c>
      <c r="T10">
        <v>2.0059999999999998</v>
      </c>
      <c r="U10">
        <v>2.5230000000000001</v>
      </c>
      <c r="V10">
        <v>3.1869999999999998</v>
      </c>
      <c r="W10">
        <v>2.1629999999999998</v>
      </c>
      <c r="X10">
        <v>2.8149999999999999</v>
      </c>
      <c r="Y10" s="6">
        <v>3.71</v>
      </c>
    </row>
    <row r="11" spans="2:25">
      <c r="B11" s="7">
        <v>-10</v>
      </c>
      <c r="C11" s="8">
        <v>-20</v>
      </c>
      <c r="D11" s="8"/>
      <c r="E11" s="8">
        <v>0.77300000000000002</v>
      </c>
      <c r="F11" s="8">
        <v>0.77300000000000002</v>
      </c>
      <c r="G11" s="8">
        <v>0.77300000000000002</v>
      </c>
      <c r="H11" s="8">
        <v>0.99099999999999999</v>
      </c>
      <c r="I11" s="8">
        <v>1.036</v>
      </c>
      <c r="J11" s="8">
        <v>1.079</v>
      </c>
      <c r="K11" s="8">
        <v>1.1020000000000001</v>
      </c>
      <c r="L11" s="8">
        <v>1.1830000000000001</v>
      </c>
      <c r="M11" s="8">
        <v>1.262</v>
      </c>
      <c r="N11" s="8">
        <v>1.204</v>
      </c>
      <c r="O11" s="8">
        <v>1.325</v>
      </c>
      <c r="P11" s="8">
        <v>1.448</v>
      </c>
      <c r="Q11" s="8">
        <v>1.3049999999999999</v>
      </c>
      <c r="R11" s="8">
        <v>1.4730000000000001</v>
      </c>
      <c r="S11" s="8">
        <v>1.653</v>
      </c>
      <c r="T11" s="8">
        <v>1.409</v>
      </c>
      <c r="U11" s="8">
        <v>1.633</v>
      </c>
      <c r="V11" s="8">
        <v>1.8859999999999999</v>
      </c>
      <c r="W11" s="8">
        <v>1.518</v>
      </c>
      <c r="X11" s="8">
        <v>1.81</v>
      </c>
      <c r="Y11" s="9">
        <v>2.1579999999999999</v>
      </c>
    </row>
    <row r="12" spans="2:25">
      <c r="B12" s="2">
        <v>-20</v>
      </c>
      <c r="C12" s="3">
        <v>0</v>
      </c>
      <c r="D12" s="3"/>
      <c r="E12" s="3">
        <v>1.643</v>
      </c>
      <c r="F12" s="3">
        <v>1.907</v>
      </c>
      <c r="G12" s="3">
        <v>2.1869999999999998</v>
      </c>
      <c r="H12" s="3">
        <v>1.752</v>
      </c>
      <c r="I12" s="3">
        <v>2.085</v>
      </c>
      <c r="J12" s="3">
        <v>2.4510000000000001</v>
      </c>
      <c r="K12" s="3">
        <v>1.87</v>
      </c>
      <c r="L12" s="3">
        <v>2.286</v>
      </c>
      <c r="M12" s="3">
        <v>2.762</v>
      </c>
      <c r="N12" s="3">
        <v>1.998</v>
      </c>
      <c r="O12" s="3">
        <v>2.5139999999999998</v>
      </c>
      <c r="P12" s="3">
        <v>3.133</v>
      </c>
      <c r="Q12" s="3">
        <v>2.137</v>
      </c>
      <c r="R12" s="3">
        <v>2.774</v>
      </c>
      <c r="S12" s="3">
        <v>3.5790000000000002</v>
      </c>
      <c r="T12" s="3">
        <v>2.2890000000000001</v>
      </c>
      <c r="U12" s="3">
        <v>3.073</v>
      </c>
      <c r="V12" s="3">
        <v>4.1239999999999997</v>
      </c>
      <c r="W12" s="3">
        <v>2.4540000000000002</v>
      </c>
      <c r="X12" s="3">
        <v>3.4180000000000001</v>
      </c>
      <c r="Y12" s="4">
        <v>4.7990000000000004</v>
      </c>
    </row>
    <row r="13" spans="2:25">
      <c r="B13" s="5">
        <v>-20</v>
      </c>
      <c r="C13">
        <v>-10</v>
      </c>
      <c r="E13">
        <v>1.248</v>
      </c>
      <c r="F13">
        <v>1.3720000000000001</v>
      </c>
      <c r="G13">
        <v>1.494</v>
      </c>
      <c r="H13">
        <v>1.327</v>
      </c>
      <c r="I13">
        <v>1.492</v>
      </c>
      <c r="J13">
        <v>1.659</v>
      </c>
      <c r="K13">
        <v>1.411</v>
      </c>
      <c r="L13">
        <v>1.6240000000000001</v>
      </c>
      <c r="M13">
        <v>1.8460000000000001</v>
      </c>
      <c r="N13">
        <v>1.5</v>
      </c>
      <c r="O13">
        <v>1.7689999999999999</v>
      </c>
      <c r="P13">
        <v>2.0609999999999999</v>
      </c>
      <c r="Q13">
        <v>1.595</v>
      </c>
      <c r="R13">
        <v>1.931</v>
      </c>
      <c r="S13">
        <v>2.3109999999999999</v>
      </c>
      <c r="T13">
        <v>1.6970000000000001</v>
      </c>
      <c r="U13">
        <v>2.1120000000000001</v>
      </c>
      <c r="V13">
        <v>2.6059999999999999</v>
      </c>
      <c r="W13">
        <v>1.806</v>
      </c>
      <c r="X13">
        <v>2.3159999999999998</v>
      </c>
      <c r="Y13" s="6">
        <v>2.9569999999999999</v>
      </c>
    </row>
    <row r="14" spans="2:25">
      <c r="B14" s="7">
        <v>-20</v>
      </c>
      <c r="C14" s="8">
        <v>-20</v>
      </c>
      <c r="D14" s="8"/>
      <c r="E14" s="8">
        <v>0.66500000000000004</v>
      </c>
      <c r="F14" s="8">
        <v>0.66500000000000004</v>
      </c>
      <c r="G14" s="8">
        <v>0.66500000000000004</v>
      </c>
      <c r="H14" s="8">
        <v>0.85699999999999998</v>
      </c>
      <c r="I14" s="8">
        <v>0.89500000000000002</v>
      </c>
      <c r="J14" s="8">
        <v>0.93</v>
      </c>
      <c r="K14" s="8">
        <v>0.94599999999999995</v>
      </c>
      <c r="L14" s="8">
        <v>1.014</v>
      </c>
      <c r="M14" s="8">
        <v>1.0780000000000001</v>
      </c>
      <c r="N14" s="8">
        <v>1.024</v>
      </c>
      <c r="O14" s="8">
        <v>1.1240000000000001</v>
      </c>
      <c r="P14" s="8">
        <v>1.222</v>
      </c>
      <c r="Q14" s="8">
        <v>1.0980000000000001</v>
      </c>
      <c r="R14" s="8">
        <v>1.236</v>
      </c>
      <c r="S14" s="8">
        <v>1.375</v>
      </c>
      <c r="T14" s="8">
        <v>1.173</v>
      </c>
      <c r="U14" s="8">
        <v>1.3540000000000001</v>
      </c>
      <c r="V14" s="8">
        <v>1.544</v>
      </c>
      <c r="W14" s="8">
        <v>1.25</v>
      </c>
      <c r="X14" s="8">
        <v>1.4810000000000001</v>
      </c>
      <c r="Y14" s="9">
        <v>1.736</v>
      </c>
    </row>
  </sheetData>
  <sheetProtection algorithmName="SHA-512" hashValue="/QTqsWmB2oVqsqmHbAIRD29MvsG+zLFzsCnNX6IbNLszLsnPavjo2YqODF6gS69wI9zTNf6+tQ42qgQUrFLmLQ==" saltValue="T0xTWlXSNkzIp7F/W7VQaQ==" spinCount="100000" sheet="1" objects="1" scenarios="1"/>
  <mergeCells count="2">
    <mergeCell ref="B4:B5"/>
    <mergeCell ref="C4:C5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41B5A-9248-2346-8BBA-2C962C16E818}">
  <sheetPr codeName="Tabelle5"/>
  <dimension ref="B2:L5"/>
  <sheetViews>
    <sheetView showGridLines="0" showRowColHeaders="0" zoomScale="150" workbookViewId="0">
      <selection activeCell="H43" sqref="H43"/>
    </sheetView>
  </sheetViews>
  <sheetFormatPr baseColWidth="10" defaultColWidth="11.5546875" defaultRowHeight="14.4"/>
  <sheetData>
    <row r="2" spans="2:12" ht="15.6">
      <c r="B2" s="12" t="s">
        <v>17</v>
      </c>
    </row>
    <row r="4" spans="2:12">
      <c r="B4" s="1" t="s">
        <v>11</v>
      </c>
      <c r="C4" s="1">
        <v>17.5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  <c r="I4" s="1" t="s">
        <v>12</v>
      </c>
      <c r="J4" s="1" t="s">
        <v>13</v>
      </c>
      <c r="K4" s="1" t="s">
        <v>14</v>
      </c>
      <c r="L4" s="1" t="s">
        <v>15</v>
      </c>
    </row>
    <row r="5" spans="2:12">
      <c r="B5" s="7" t="s">
        <v>16</v>
      </c>
      <c r="C5" s="8">
        <v>0.7</v>
      </c>
      <c r="D5" s="8">
        <v>0.66</v>
      </c>
      <c r="E5" s="8">
        <v>0.62</v>
      </c>
      <c r="F5" s="8">
        <v>0.57999999999999996</v>
      </c>
      <c r="G5" s="8">
        <v>0.54</v>
      </c>
      <c r="H5" s="8">
        <v>0.5</v>
      </c>
      <c r="I5" s="8">
        <v>0.46</v>
      </c>
      <c r="J5" s="8">
        <v>0.43</v>
      </c>
      <c r="K5" s="8">
        <v>0.39</v>
      </c>
      <c r="L5" s="9">
        <v>0.36</v>
      </c>
    </row>
  </sheetData>
  <sheetProtection algorithmName="SHA-512" hashValue="DAC9O7fWCcauz6PzzGVw8F/EgssDzYxmD3r6hMED3vWxTgZQ7ZPuqyGjsZ4xSd1dRklbdVx7mAapHBOQC1/DVw==" saltValue="Q20mg3DezjfMXM0lfAZNfA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Home</vt:lpstr>
      <vt:lpstr>Tabelle1</vt:lpstr>
      <vt:lpstr>Erdrukarten</vt:lpstr>
      <vt:lpstr>aktiver Erddruckbeiwert</vt:lpstr>
      <vt:lpstr>passiver Erddruckbeiwerte</vt:lpstr>
      <vt:lpstr>Ruhedruckbeiwerte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Jerry</cp:lastModifiedBy>
  <dcterms:created xsi:type="dcterms:W3CDTF">2025-02-11T15:00:34Z</dcterms:created>
  <dcterms:modified xsi:type="dcterms:W3CDTF">2025-04-24T15:08:44Z</dcterms:modified>
</cp:coreProperties>
</file>