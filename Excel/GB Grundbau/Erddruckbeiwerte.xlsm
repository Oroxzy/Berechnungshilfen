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2AA52249-5694-4677-A739-A0AC5118DE5E}" xr6:coauthVersionLast="47" xr6:coauthVersionMax="47" xr10:uidLastSave="{00000000-0000-0000-0000-000000000000}"/>
  <bookViews>
    <workbookView xWindow="16908" yWindow="108" windowWidth="43944" windowHeight="16416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4" l="1"/>
  <c r="D30" i="4" s="1"/>
  <c r="G30" i="4" s="1"/>
  <c r="B13" i="6"/>
  <c r="C13" i="6"/>
  <c r="C7" i="6"/>
  <c r="C4" i="6"/>
  <c r="B3" i="6"/>
  <c r="C2" i="6"/>
  <c r="C1" i="6"/>
  <c r="B1" i="6"/>
  <c r="C10" i="6"/>
  <c r="C5" i="6"/>
  <c r="B4" i="6"/>
  <c r="AE3" i="1"/>
  <c r="D27" i="4" l="1"/>
  <c r="G27" i="4" s="1"/>
  <c r="D32" i="4"/>
  <c r="G32" i="4" s="1"/>
  <c r="E14" i="4"/>
  <c r="D14" i="4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9" i="4"/>
  <c r="E9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10" i="4" a="1"/>
  <c r="D10" i="4" l="1"/>
  <c r="D24" i="4" s="1"/>
  <c r="G33" i="4" l="1"/>
  <c r="D33" i="4"/>
  <c r="B19" i="6" s="1"/>
  <c r="D31" i="4"/>
  <c r="D29" i="4"/>
  <c r="G29" i="4" s="1"/>
  <c r="D28" i="4"/>
  <c r="G28" i="4" s="1"/>
  <c r="B8" i="6" l="1"/>
  <c r="B16" i="6"/>
  <c r="C8" i="6"/>
  <c r="C14" i="6"/>
  <c r="G3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<sst xmlns="http://schemas.openxmlformats.org/spreadsheetml/2006/main" count="189" uniqueCount="114">
  <si>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</si>
  <si>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</si>
  <si>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</si>
  <si>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</si>
  <si>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</si>
  <si>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</si>
  <si>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</si>
  <si>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</si>
  <si>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</si>
  <si>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</si>
  <si>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</si>
  <si>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</si>
  <si>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</si>
  <si>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</si>
  <si>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</si>
  <si>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</si>
  <si>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</si>
  <si>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</si>
  <si>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</si>
  <si>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</si>
  <si>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</si>
  <si>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</si>
  <si>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</si>
  <si>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</si>
  <si>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</si>
  <si>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</si>
  <si>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</si>
  <si>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</si>
  <si>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</si>
  <si>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</si>
  <si>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</si>
  <si>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</si>
  <si>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</si>
  <si>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</si>
  <si>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</si>
  <si>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</si>
  <si>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</si>
  <si>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</si>
  <si>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</si>
  <si>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</si>
  <si>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</si>
  <si>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Erdruck Typ</t>
  </si>
  <si>
    <t>Erddruckbeiwert:</t>
  </si>
  <si>
    <t>info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</si>
  <si>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</si>
  <si>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</si>
  <si>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</si>
  <si>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</si>
  <si>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</si>
  <si>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</si>
  <si>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</si>
  <si>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</si>
  <si>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</si>
  <si>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</si>
  <si>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</si>
  <si>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</si>
  <si>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</si>
  <si>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</si>
  <si>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</si>
  <si>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</si>
  <si>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</si>
  <si>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</si>
  <si>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</si>
  <si>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</si>
  <si>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</si>
  <si>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</si>
  <si>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</si>
  <si>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</si>
  <si>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</si>
  <si>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</si>
  <si>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Horizontalen, Aktiver &amp; Passiver Erddruckbeiwert aus der Tabelle nach Blum</t>
  </si>
  <si>
    <t>Eigengewicht</t>
  </si>
  <si>
    <t>Oberlast</t>
  </si>
  <si>
    <t>Kohäsion</t>
  </si>
  <si>
    <t>Dreieck</t>
  </si>
  <si>
    <t>Rechteck</t>
  </si>
  <si>
    <t>eah​(z)</t>
  </si>
  <si>
    <t>&gt; 1.5m!</t>
  </si>
  <si>
    <t>Aktiver horizontaler Erddruck</t>
  </si>
  <si>
    <t>EahO</t>
  </si>
  <si>
    <t>EahU</t>
  </si>
  <si>
    <t>Aktiver horizontaler Erddruck (Oben)</t>
  </si>
  <si>
    <t>Aktiver horizontaler Erddruck (Unten)</t>
  </si>
  <si>
    <t>Erddruck</t>
  </si>
  <si>
    <t>EaH</t>
  </si>
  <si>
    <t xml:space="preserve">Höhe und Tiefe: </t>
  </si>
  <si>
    <t>stützmauer y</t>
  </si>
  <si>
    <t>stützmauer x</t>
  </si>
  <si>
    <t>neigung hinterfüllung x</t>
  </si>
  <si>
    <t>neigung hinterfüllung y</t>
  </si>
  <si>
    <t>Erdruck schräge x</t>
  </si>
  <si>
    <t>Erdruck schräge y</t>
  </si>
  <si>
    <t>Vertikale Linie x</t>
  </si>
  <si>
    <t>Vertikale Linie y</t>
  </si>
  <si>
    <t>unten strich y</t>
  </si>
  <si>
    <t>unten strich x</t>
  </si>
  <si>
    <t>oben strich y</t>
  </si>
  <si>
    <t>oben strich x</t>
  </si>
  <si>
    <t>punkt</t>
  </si>
  <si>
    <t>γsat​</t>
  </si>
  <si>
    <t>Bodengewicht​ (gesättigt)</t>
  </si>
  <si>
    <t>γ′</t>
  </si>
  <si>
    <t>Bodengewicht (spezifisch)</t>
  </si>
  <si>
    <t>Grundwasserspiegel unter Geländeoberfläche</t>
  </si>
  <si>
    <t>Horizontaler aktiver Erddruckbeiwert (z. B. nach Blum)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</si>
  <si>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</si>
  <si>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</si>
  <si>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</si>
  <si>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</si>
  <si>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</si>
  <si>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</si>
  <si>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</si>
  <si>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wasserspiegelhöhe</t>
  </si>
  <si>
    <t>GWS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</si>
</sst>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10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9" fillId="0" borderId="22" xfId="0" applyFont="1" applyBorder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7" xfId="1" applyNumberFormat="1" applyFont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9" xfId="1" applyFont="1" applyBorder="1" applyAlignment="1" applyProtection="1">
      <alignment horizontal="right" vertical="center"/>
      <protection locked="0"/>
    </xf>
    <xf numFmtId="0" fontId="1" fillId="0" borderId="2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30" xfId="3" applyNumberFormat="1" applyFont="1" applyBorder="1" applyAlignment="1" applyProtection="1">
      <alignment horizontal="right" vertical="center"/>
    </xf>
    <xf numFmtId="0" fontId="0" fillId="2" borderId="32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 applyAlignment="1">
      <alignment horizontal="center"/>
    </xf>
    <xf numFmtId="0" fontId="18" fillId="3" borderId="28" xfId="2" applyFont="1" applyBorder="1" applyProtection="1"/>
    <xf numFmtId="164" fontId="18" fillId="3" borderId="31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2" xfId="0" applyFont="1" applyFill="1" applyBorder="1" applyAlignment="1">
      <alignment horizontal="right"/>
    </xf>
    <xf numFmtId="0" fontId="17" fillId="0" borderId="42" xfId="0" applyFont="1" applyBorder="1" applyAlignment="1">
      <alignment horizontal="right"/>
    </xf>
    <xf numFmtId="0" fontId="0" fillId="0" borderId="43" xfId="0" applyBorder="1"/>
    <xf numFmtId="0" fontId="0" fillId="0" borderId="44" xfId="0" applyBorder="1"/>
    <xf numFmtId="0" fontId="1" fillId="10" borderId="15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0" borderId="17" xfId="0" applyFont="1" applyFill="1" applyBorder="1" applyAlignment="1">
      <alignment horizontal="left"/>
    </xf>
    <xf numFmtId="0" fontId="1" fillId="10" borderId="18" xfId="0" applyFont="1" applyFill="1" applyBorder="1" applyAlignment="1">
      <alignment horizontal="left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left" wrapText="1"/>
    </xf>
    <xf numFmtId="0" fontId="19" fillId="9" borderId="36" xfId="3" applyFont="1" applyFill="1" applyBorder="1" applyAlignment="1" applyProtection="1">
      <alignment horizontal="left" vertical="center"/>
    </xf>
    <xf numFmtId="0" fontId="19" fillId="9" borderId="37" xfId="3" applyFont="1" applyFill="1" applyBorder="1" applyAlignment="1" applyProtection="1">
      <alignment horizontal="left" vertical="center"/>
    </xf>
    <xf numFmtId="0" fontId="19" fillId="9" borderId="38" xfId="3" applyFont="1" applyFill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8" xfId="0" applyFont="1" applyBorder="1"/>
    <xf numFmtId="0" fontId="0" fillId="0" borderId="19" xfId="0" applyFont="1" applyBorder="1"/>
    <xf numFmtId="0" fontId="0" fillId="0" borderId="20" xfId="0" applyFont="1" applyBorder="1"/>
    <xf numFmtId="0" fontId="0" fillId="0" borderId="21" xfId="0" applyFont="1" applyBorder="1"/>
    <xf numFmtId="0" fontId="0" fillId="0" borderId="0" xfId="0" applyFont="1"/>
    <xf numFmtId="0" fontId="0" fillId="0" borderId="22" xfId="0" applyFont="1" applyBorder="1"/>
    <xf numFmtId="165" fontId="0" fillId="0" borderId="21" xfId="0" applyNumberFormat="1" applyFont="1" applyBorder="1"/>
    <xf numFmtId="165" fontId="0" fillId="0" borderId="0" xfId="0" applyNumberFormat="1" applyFont="1"/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9" fillId="5" borderId="34" xfId="3" applyFont="1" applyBorder="1" applyAlignment="1" applyProtection="1">
      <alignment horizontal="left" vertical="center"/>
    </xf>
    <xf numFmtId="0" fontId="19" fillId="5" borderId="35" xfId="3" applyFont="1" applyBorder="1" applyAlignment="1" applyProtection="1">
      <alignment horizontal="left" vertical="center"/>
    </xf>
    <xf numFmtId="0" fontId="19" fillId="5" borderId="39" xfId="3" applyFont="1" applyBorder="1" applyAlignment="1" applyProtection="1">
      <alignment horizontal="left" vertical="center"/>
    </xf>
    <xf numFmtId="0" fontId="19" fillId="5" borderId="40" xfId="3" applyFont="1" applyBorder="1" applyAlignment="1" applyProtection="1">
      <alignment horizontal="left" vertical="center"/>
    </xf>
    <xf numFmtId="0" fontId="19" fillId="5" borderId="41" xfId="3" applyFont="1" applyBorder="1" applyAlignment="1" applyProtection="1">
      <alignment horizontal="left" vertical="center"/>
    </xf>
    <xf numFmtId="0" fontId="19" fillId="5" borderId="36" xfId="3" applyFont="1" applyBorder="1" applyAlignment="1" applyProtection="1">
      <alignment horizontal="left" vertical="center"/>
    </xf>
    <xf numFmtId="0" fontId="19" fillId="5" borderId="37" xfId="3" applyFont="1" applyBorder="1" applyAlignment="1" applyProtection="1">
      <alignment horizontal="left" vertical="center"/>
    </xf>
    <xf numFmtId="0" fontId="19" fillId="5" borderId="38" xfId="3" applyFont="1" applyBorder="1" applyAlignment="1" applyProtection="1">
      <alignment horizontal="left" vertical="center"/>
    </xf>
    <xf numFmtId="0" fontId="0" fillId="0" borderId="0" xfId="0" applyBorder="1"/>
    <xf numFmtId="165" fontId="0" fillId="0" borderId="0" xfId="0" applyNumberFormat="1" applyAlignment="1">
      <alignment horizontal="right"/>
    </xf>
    <xf numFmtId="165" fontId="0" fillId="8" borderId="0" xfId="0" applyNumberFormat="1" applyFill="1" applyAlignment="1">
      <alignment horizontal="right"/>
    </xf>
    <xf numFmtId="165" fontId="1" fillId="0" borderId="0" xfId="0" applyNumberFormat="1" applyFont="1" applyAlignment="1">
      <alignment horizontal="right"/>
    </xf>
    <xf numFmtId="165" fontId="1" fillId="8" borderId="0" xfId="0" applyNumberFormat="1" applyFont="1" applyFill="1" applyAlignment="1">
      <alignment horizontal="right"/>
    </xf>
    <xf numFmtId="0" fontId="17" fillId="8" borderId="21" xfId="0" applyFont="1" applyFill="1" applyBorder="1" applyAlignment="1">
      <alignment horizontal="right"/>
    </xf>
    <xf numFmtId="0" fontId="17" fillId="0" borderId="21" xfId="0" applyFont="1" applyBorder="1" applyAlignment="1">
      <alignment horizontal="right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0" fontId="0" fillId="7" borderId="46" xfId="1" applyNumberFormat="1" applyFont="1" applyFill="1" applyBorder="1" applyAlignment="1" applyProtection="1">
      <alignment horizontal="right" vertical="center"/>
      <protection locked="0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7">
    <dxf>
      <font>
        <color theme="6" tint="-0.24994659260841701"/>
      </font>
    </dxf>
    <dxf>
      <font>
        <color theme="5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Erdruck schräge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Tabelle1!$B$8:$C$8</c:f>
              <c:numCache>
                <c:formatCode>#,##0.000</c:formatCode>
                <c:ptCount val="2"/>
                <c:pt idx="0">
                  <c:v>-2.480588203494178</c:v>
                </c:pt>
                <c:pt idx="1">
                  <c:v>44.879411796505821</c:v>
                </c:pt>
              </c:numCache>
            </c:numRef>
          </c:xVal>
          <c:yVal>
            <c:numRef>
              <c:f>Tabelle1!$B$7:$C$7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09-4EC1-8D7C-5719DA73D90F}"/>
            </c:ext>
          </c:extLst>
        </c:ser>
        <c:ser>
          <c:idx val="1"/>
          <c:order val="1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2"/>
          <c:order val="2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0.41901827761725979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3"/>
          <c:order val="3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44.879411796505821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4"/>
          <c:tx>
            <c:v>oben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-2.480588203494178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rnd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1.4106158456677198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1.4106158456677198</c:v>
                </c:pt>
                <c:pt idx="1">
                  <c:v>8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-1.4106158456677198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1496738</xdr:colOff>
      <xdr:row>33</xdr:row>
      <xdr:rowOff>71718</xdr:rowOff>
    </xdr:from>
    <xdr:to>
      <xdr:col>6</xdr:col>
      <xdr:colOff>788894</xdr:colOff>
      <xdr:row>58</xdr:row>
      <xdr:rowOff>116540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33</xdr:row>
      <xdr:rowOff>87637</xdr:rowOff>
    </xdr:from>
    <xdr:to>
      <xdr:col>3</xdr:col>
      <xdr:colOff>823093</xdr:colOff>
      <xdr:row>57</xdr:row>
      <xdr:rowOff>104578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6" dataDxfId="5">
  <autoFilter ref="A7:C10" xr:uid="{707E511B-74A4-F541-9F33-03BA4AF4979A}"/>
  <tableColumns count="3">
    <tableColumn id="1" xr3:uid="{7477F713-430B-9E4B-9400-C343B7AFA31B}" name="Beschreibung" dataDxfId="4"/>
    <tableColumn id="2" xr3:uid="{7B48791E-28B8-A242-9E4D-EA858C9957E5}" name="δ in Bezug auf φ" dataDxfId="3"/>
    <tableColumn id="3" xr3:uid="{3ACBA7E2-23D9-0D43-A8A4-6130C1A6E15E}" name="Beispiel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59"/>
  <sheetViews>
    <sheetView showGridLines="0" tabSelected="1" topLeftCell="A12" zoomScale="85" zoomScaleNormal="85" workbookViewId="0">
      <selection activeCell="M44" sqref="M44"/>
    </sheetView>
  </sheetViews>
  <sheetFormatPr baseColWidth="10" defaultColWidth="11.5546875" defaultRowHeight="14.4"/>
  <cols>
    <col min="1" max="1" width="8" customWidth="1"/>
    <col min="2" max="2" width="1.88671875" customWidth="1"/>
    <col min="3" max="3" width="51.88671875" customWidth="1"/>
    <col min="4" max="4" width="28.33203125" customWidth="1"/>
    <col min="5" max="5" width="15" customWidth="1"/>
    <col min="6" max="6" width="19.33203125" customWidth="1"/>
    <col min="7" max="7" width="14.5546875" customWidth="1"/>
    <col min="14" max="14" width="85.109375" customWidth="1"/>
    <col min="16" max="16" width="19.21875" customWidth="1"/>
  </cols>
  <sheetData>
    <row r="1" spans="1:19" ht="18.600000000000001" thickBot="1">
      <c r="A1" s="27" t="s">
        <v>69</v>
      </c>
      <c r="B1" s="28"/>
      <c r="C1" s="28"/>
      <c r="D1" s="28"/>
      <c r="E1" s="29"/>
      <c r="F1" s="29"/>
      <c r="G1" s="30"/>
      <c r="H1" s="29"/>
      <c r="I1" s="29"/>
      <c r="J1" s="31" t="s">
        <v>44</v>
      </c>
      <c r="K1" s="32"/>
      <c r="L1" s="14"/>
      <c r="M1" s="14" t="s">
        <v>45</v>
      </c>
      <c r="N1" s="14" t="s">
        <v>46</v>
      </c>
      <c r="O1" s="14" t="s">
        <v>47</v>
      </c>
      <c r="P1" s="14" t="s">
        <v>48</v>
      </c>
      <c r="Q1" s="14" t="s">
        <v>49</v>
      </c>
      <c r="R1" s="14" t="s">
        <v>50</v>
      </c>
      <c r="S1" s="14" t="s">
        <v>51</v>
      </c>
    </row>
    <row r="2" spans="1:19" ht="15" thickBot="1"/>
    <row r="3" spans="1:19" ht="15" thickBot="1">
      <c r="B3" s="53" t="s">
        <v>70</v>
      </c>
      <c r="C3" s="54"/>
      <c r="D3" s="54"/>
      <c r="E3" s="54"/>
      <c r="F3" s="55"/>
    </row>
    <row r="4" spans="1:19" ht="15" thickBot="1">
      <c r="B4" s="24"/>
      <c r="C4" s="25" t="s">
        <v>22</v>
      </c>
      <c r="D4" s="25" t="s">
        <v>62</v>
      </c>
      <c r="E4" s="25" t="s">
        <v>53</v>
      </c>
      <c r="F4" s="26" t="s">
        <v>43</v>
      </c>
    </row>
    <row r="5" spans="1:19">
      <c r="C5" s="16" t="s">
        <v>41</v>
      </c>
      <c r="D5" s="22" t="s">
        <v>19</v>
      </c>
      <c r="E5" s="36"/>
      <c r="F5" s="37"/>
    </row>
    <row r="6" spans="1:19">
      <c r="C6" s="17" t="s">
        <v>108</v>
      </c>
      <c r="D6" s="21">
        <v>27.5</v>
      </c>
      <c r="E6" s="13" t="s">
        <v>39</v>
      </c>
      <c r="F6" s="20"/>
    </row>
    <row r="7" spans="1:19">
      <c r="C7" s="17" t="s">
        <v>109</v>
      </c>
      <c r="D7" s="23">
        <v>10</v>
      </c>
      <c r="E7" s="13" t="s">
        <v>106</v>
      </c>
      <c r="F7" s="38"/>
    </row>
    <row r="8" spans="1:19">
      <c r="C8" s="17" t="s">
        <v>110</v>
      </c>
      <c r="D8" s="21">
        <v>10</v>
      </c>
      <c r="E8" s="13" t="s">
        <v>107</v>
      </c>
      <c r="F8" s="38"/>
    </row>
    <row r="9" spans="1:19" ht="16.2" thickBot="1">
      <c r="C9" s="39" t="s">
        <v>40</v>
      </c>
      <c r="D9" s="33" t="s">
        <v>25</v>
      </c>
      <c r="E9" s="18" t="str">
        <f>VLOOKUP(D9,Tabelle1[],2,FALSE)</f>
        <v>2/3 φ</v>
      </c>
      <c r="F9" s="40" t="str">
        <f>VLOOKUP(D9,Tabelle1[],3,FALSE)</f>
        <v>z.B. Beton</v>
      </c>
    </row>
    <row r="10" spans="1:19" ht="16.2" thickBot="1">
      <c r="C10" s="34" t="s">
        <v>42</v>
      </c>
      <c r="D10" s="43" cm="1">
        <f t="array" ref="D10">GetKahValue(D7, D8, D6, E9, D5)</f>
        <v>0.29599999999999999</v>
      </c>
    </row>
    <row r="11" spans="1:19" ht="15" thickBot="1">
      <c r="B11" s="56" t="s">
        <v>52</v>
      </c>
      <c r="C11" s="57" t="s">
        <v>52</v>
      </c>
      <c r="D11" s="57"/>
      <c r="E11" s="57"/>
      <c r="F11" s="58"/>
    </row>
    <row r="12" spans="1:19" ht="15" thickBot="1">
      <c r="B12" s="24"/>
      <c r="C12" s="25" t="s">
        <v>22</v>
      </c>
      <c r="D12" s="25" t="s">
        <v>62</v>
      </c>
      <c r="E12" s="59" t="s">
        <v>64</v>
      </c>
      <c r="F12" s="59"/>
      <c r="G12" s="60"/>
    </row>
    <row r="13" spans="1:19" ht="15" thickBot="1">
      <c r="C13" s="17" t="s">
        <v>18</v>
      </c>
      <c r="D13" s="41">
        <v>22.5</v>
      </c>
    </row>
    <row r="14" spans="1:19" ht="16.2" thickBot="1">
      <c r="C14" s="35" t="s">
        <v>42</v>
      </c>
      <c r="D14" s="44">
        <f>1 - SIN(RADIANS(D13))</f>
        <v>0.61731656763491016</v>
      </c>
      <c r="E14" s="79" t="str">
        <f>"= 1 − sin(" &amp; D13 &amp; "°) = 1 − " &amp; TEXT(SIN(RADIANS(D13)),"0.000") &amp; " = " &amp; TEXT(1-SIN(RADIANS(D13)),"0.000")</f>
        <v>= 1 − sin(22.5°) = 1 − 0.383 = 0.617</v>
      </c>
      <c r="F14" s="80"/>
      <c r="G14" s="81"/>
    </row>
    <row r="16" spans="1:19" ht="15" thickBot="1"/>
    <row r="17" spans="2:18" ht="15" thickBot="1">
      <c r="B17" s="61" t="s">
        <v>83</v>
      </c>
      <c r="C17" s="57" t="s">
        <v>52</v>
      </c>
      <c r="D17" s="57"/>
      <c r="E17" s="57"/>
      <c r="F17" s="58"/>
    </row>
    <row r="18" spans="2:18" ht="15" thickBot="1">
      <c r="B18" s="42"/>
      <c r="C18" s="25" t="s">
        <v>22</v>
      </c>
      <c r="D18" s="25" t="s">
        <v>62</v>
      </c>
      <c r="E18" s="25" t="s">
        <v>53</v>
      </c>
      <c r="F18" s="25" t="s">
        <v>61</v>
      </c>
      <c r="G18" s="59" t="s">
        <v>64</v>
      </c>
      <c r="H18" s="59"/>
      <c r="I18" s="59"/>
      <c r="J18" s="59"/>
      <c r="K18" s="59"/>
      <c r="L18" s="59"/>
      <c r="M18" s="59"/>
      <c r="N18" s="60"/>
    </row>
    <row r="19" spans="2:18">
      <c r="C19" s="96" t="s">
        <v>54</v>
      </c>
      <c r="D19" s="98">
        <v>8</v>
      </c>
      <c r="E19" s="47" t="s">
        <v>56</v>
      </c>
      <c r="F19" s="47" t="s">
        <v>65</v>
      </c>
      <c r="G19" s="36"/>
      <c r="H19" s="36"/>
      <c r="I19" s="36"/>
      <c r="J19" s="36"/>
      <c r="K19" s="36"/>
      <c r="L19" s="36"/>
      <c r="M19" s="36"/>
      <c r="N19" s="37"/>
    </row>
    <row r="20" spans="2:18">
      <c r="C20" s="97" t="s">
        <v>103</v>
      </c>
      <c r="D20" s="99"/>
      <c r="E20" s="6" t="s">
        <v>113</v>
      </c>
      <c r="F20" s="6" t="s">
        <v>65</v>
      </c>
      <c r="G20" s="91"/>
      <c r="H20" s="91"/>
      <c r="I20" s="91"/>
      <c r="J20" s="91"/>
      <c r="K20" s="91"/>
      <c r="L20" s="91"/>
      <c r="M20" s="91"/>
      <c r="N20" s="38"/>
    </row>
    <row r="21" spans="2:18">
      <c r="C21" s="96" t="s">
        <v>102</v>
      </c>
      <c r="D21" s="100">
        <v>20</v>
      </c>
      <c r="E21" s="47" t="s">
        <v>105</v>
      </c>
      <c r="F21" s="47" t="s">
        <v>66</v>
      </c>
      <c r="N21" s="38"/>
    </row>
    <row r="22" spans="2:18">
      <c r="C22" s="97" t="s">
        <v>100</v>
      </c>
      <c r="D22" s="99"/>
      <c r="E22" s="6" t="s">
        <v>99</v>
      </c>
      <c r="F22" s="6" t="s">
        <v>66</v>
      </c>
      <c r="N22" s="38"/>
    </row>
    <row r="23" spans="2:18">
      <c r="C23" s="49" t="s">
        <v>111</v>
      </c>
      <c r="D23" s="93" t="str">
        <f>IF(ISNUMBER(D22), D22 - 10, "-")</f>
        <v>-</v>
      </c>
      <c r="E23" s="46" t="s">
        <v>101</v>
      </c>
      <c r="F23" s="47" t="s">
        <v>66</v>
      </c>
      <c r="N23" s="38"/>
    </row>
    <row r="24" spans="2:18">
      <c r="C24" s="50" t="s">
        <v>104</v>
      </c>
      <c r="D24" s="92">
        <f>D10</f>
        <v>0.29599999999999999</v>
      </c>
      <c r="E24" s="45" t="s">
        <v>55</v>
      </c>
      <c r="F24" s="6" t="s">
        <v>63</v>
      </c>
      <c r="N24" s="38"/>
    </row>
    <row r="25" spans="2:18">
      <c r="C25" s="49" t="s">
        <v>57</v>
      </c>
      <c r="D25" s="100">
        <v>10</v>
      </c>
      <c r="E25" s="46" t="s">
        <v>58</v>
      </c>
      <c r="F25" s="47" t="s">
        <v>67</v>
      </c>
      <c r="N25" s="38"/>
    </row>
    <row r="26" spans="2:18">
      <c r="C26" s="50" t="s">
        <v>59</v>
      </c>
      <c r="D26" s="99">
        <v>5</v>
      </c>
      <c r="E26" s="45" t="s">
        <v>60</v>
      </c>
      <c r="F26" s="6" t="s">
        <v>67</v>
      </c>
      <c r="N26" s="38"/>
    </row>
    <row r="27" spans="2:18">
      <c r="C27" s="49" t="s">
        <v>71</v>
      </c>
      <c r="D27" s="93">
        <f>IF(OR(D19="",D21="",D24=""),"-",IF(OR(D20="",D20=0),0.5*D19^2*D21*D24,0.5*D20^2*D21*D24+0.5*(D19-D20)^2*D23*D24+D20*(D19-D20)*D23*D24))</f>
        <v>189.44</v>
      </c>
      <c r="E27" s="46" t="s">
        <v>74</v>
      </c>
      <c r="F27" s="47" t="s">
        <v>68</v>
      </c>
      <c r="G27" s="82" t="str">
        <f>IF(OR(D19="",D21="",D24=""),"-",IF(OR(D20="",D20=0),"0.5 · " &amp; D19 &amp; "² m² · " &amp; D21 &amp; " kN/m³ · " &amp; D24 &amp; " = " &amp; TEXT(D27,"0.00") &amp; " kN/m","0.5 · " &amp; D20 &amp; "² m² · " &amp; D21 &amp; " kN/m³ · " &amp; D24 &amp; " + 0.5 · (" &amp; D19 &amp; "−" &amp; D20 &amp; ")² m² · " &amp; D23 &amp; " kN/m³ · " &amp; D24 &amp; " + " &amp; D20 &amp; " m · (" &amp; D19 &amp; "−" &amp; D20 &amp; ") m · " &amp; D23 &amp; " kN/m³ · " &amp; D24 &amp; " = " &amp; TEXT(D27,"0.00") &amp; " kN/m"))</f>
        <v>0.5 · 8² m² · 20 kN/m³ · 0.296 = 189.44 kN/m</v>
      </c>
      <c r="H27" s="83"/>
      <c r="I27" s="83"/>
      <c r="J27" s="83"/>
      <c r="K27" s="83"/>
      <c r="L27" s="83"/>
      <c r="M27" s="83"/>
      <c r="N27" s="84"/>
    </row>
    <row r="28" spans="2:18">
      <c r="C28" s="50" t="s">
        <v>72</v>
      </c>
      <c r="D28" s="94">
        <f>IF(OR(D19="",D25="",D24=""),"-",D25*D19*D24)</f>
        <v>23.68</v>
      </c>
      <c r="E28" s="45" t="s">
        <v>75</v>
      </c>
      <c r="F28" s="6" t="s">
        <v>68</v>
      </c>
      <c r="G28" s="62" t="str">
        <f>IF(OR(D19="",D25="",D24=""),"-",D25 &amp; " kN/m² · " &amp; D19 &amp; " m · " &amp; D24 &amp; " = " &amp; TEXT(D28,"0.00") &amp; " kN/m")</f>
        <v>10 kN/m² · 8 m · 0.296 = 23.68 kN/m</v>
      </c>
      <c r="H28" s="63"/>
      <c r="I28" s="63"/>
      <c r="J28" s="63"/>
      <c r="K28" s="63"/>
      <c r="L28" s="63"/>
      <c r="M28" s="63"/>
      <c r="N28" s="64"/>
      <c r="Q28" s="48"/>
      <c r="R28" s="48"/>
    </row>
    <row r="29" spans="2:18">
      <c r="C29" s="49" t="s">
        <v>73</v>
      </c>
      <c r="D29" s="93">
        <f>IF(OR(D19="",D26="",D24="",D26=0),"-",2*D26*D19*SQRT(D24))</f>
        <v>43.524705627953423</v>
      </c>
      <c r="E29" s="46"/>
      <c r="F29" s="47" t="s">
        <v>68</v>
      </c>
      <c r="G29" s="85" t="str">
        <f>IF(OR(D19="",D26="",D24="",D26=0),"-","2 · " &amp; D26 &amp; " kN/m² · " &amp; D19 &amp; " m · √" &amp; D24 &amp; " = " &amp; TEXT(D29,"0.00") &amp; " kN/m")</f>
        <v>2 · 5 kN/m² · 8 m · √0.296 = 43.52 kN/m</v>
      </c>
      <c r="H29" s="86"/>
      <c r="I29" s="86"/>
      <c r="J29" s="86"/>
      <c r="K29" s="86"/>
      <c r="L29" s="86"/>
      <c r="M29" s="86"/>
      <c r="N29" s="87"/>
    </row>
    <row r="30" spans="2:18">
      <c r="C30" s="50" t="s">
        <v>78</v>
      </c>
      <c r="D30" s="94">
        <f>IF(OR(D19="",D21="",D24="",D25="",D26=""),"-",IF(OR(D20="",D20=0), 0.5*D19^2*D21*D24 + D25*D19*D24 - 2*D26*D19*SQRT(D24), 0.5*D20^2*D21*D24 + 0.5*(D19-D20)^2*D23*D24 + D20*(D19-D20)*D23*D24 + D25*D19*D24 - 2*D26*D19*SQRT(D24) + 10*(D19-D20)))</f>
        <v>169.59529437204657</v>
      </c>
      <c r="E30" s="45" t="s">
        <v>84</v>
      </c>
      <c r="F30" s="6" t="s">
        <v>68</v>
      </c>
      <c r="G30" s="62" t="str">
        <f>IF(OR(D19="",D21="",D24="",D25="",D26=""),"-",IF(OR(D20="",D20=0),"½ · " &amp; D19 &amp; "² m² · " &amp; D21 &amp; " kN/m³ · " &amp; D24 &amp; " + " &amp; D25 &amp; " kN/m² · " &amp; D19 &amp; " m · " &amp; D24 &amp; IF(OR(D26="",D26=0),""," − 2 · " &amp; D26 &amp; " kN/m² · " &amp; D19 &amp; " m · √" &amp; D24) &amp; " = " &amp; TEXT(D30,"0.00") &amp; " kN/m","½ · " &amp; D20 &amp; "² m² · " &amp; D21 &amp; " kN/m³ · " &amp; D24 &amp; " + ½ · (" &amp; D19 &amp; "−" &amp; D20 &amp; ")² m² · " &amp; D23 &amp; " kN/m³ · " &amp; D24 &amp; " + " &amp; D20 &amp; " m · (" &amp; D19 &amp; "−" &amp; D20 &amp; ") m · " &amp; D23 &amp; " kN/m³ · " &amp; D24 &amp; " + " &amp; D25 &amp; " kN/m² · " &amp; D19 &amp; " m · " &amp; D24 &amp; " − 2 · " &amp; D26 &amp; " kN/m² · " &amp; D19 &amp; " m · √" &amp; D24 &amp; " + 10 kN/m³ · (" &amp; D19 &amp; "−" &amp; D20 &amp; ") = " &amp; TEXT(D30,"0.00") &amp; " kN/m"))</f>
        <v>½ · 8² m² · 20 kN/m³ · 0.296 + 10 kN/m² · 8 m · 0.296 − 2 · 5 kN/m² · 8 m · √0.296 = 169.60 kN/m</v>
      </c>
      <c r="H30" s="63"/>
      <c r="I30" s="63"/>
      <c r="J30" s="63"/>
      <c r="K30" s="63"/>
      <c r="L30" s="63"/>
      <c r="M30" s="63"/>
      <c r="N30" s="64"/>
    </row>
    <row r="31" spans="2:18">
      <c r="C31" s="49" t="s">
        <v>81</v>
      </c>
      <c r="D31" s="93">
        <f>D25*D24 - 2*D26*SQRT(D24)</f>
        <v>-2.480588203494178</v>
      </c>
      <c r="E31" s="46" t="s">
        <v>79</v>
      </c>
      <c r="F31" s="47" t="s">
        <v>67</v>
      </c>
      <c r="G31" s="88" t="str">
        <f>IF(OR(D24="",D25="",D26=""),"-",D25 &amp; " kN/m² · " &amp; D24 &amp; " − 2 · " &amp; D26 &amp; " kN/m² · √" &amp; D24 &amp; " = " &amp; TEXT(D31,"0.00") &amp; " kN/m²")</f>
        <v>10 kN/m² · 0.296 − 2 · 5 kN/m² · √0.296 = -2.48 kN/m²</v>
      </c>
      <c r="H31" s="89"/>
      <c r="I31" s="89"/>
      <c r="J31" s="89"/>
      <c r="K31" s="89"/>
      <c r="L31" s="89"/>
      <c r="M31" s="89"/>
      <c r="N31" s="90"/>
    </row>
    <row r="32" spans="2:18">
      <c r="C32" s="50" t="s">
        <v>82</v>
      </c>
      <c r="D32" s="92">
        <f>IF(OR(D20="",ISERROR(D20)),D21*D19*D24 + D25*D24 - 2*D26*SQRT(D24),D23*D19*D24 + D25*D24 - 2*D26*SQRT(D24) + 10*(D19-D20))</f>
        <v>44.879411796505821</v>
      </c>
      <c r="E32" s="45" t="s">
        <v>80</v>
      </c>
      <c r="F32" s="6" t="s">
        <v>67</v>
      </c>
      <c r="G32" s="62" t="str">
        <f>IF(OR(D19="",D24="",D25="",D26=""),"-",IF(OR(D20="",ISERROR(D20)),D21 &amp; " kN/m³ · " &amp; D19 &amp; " m · " &amp; D24 &amp; " + " &amp; D25 &amp; " kN/m² · " &amp; D24 &amp; " − 2 · " &amp; D26 &amp; " kN/m² · √" &amp; D24 &amp; " = " &amp; TEXT(D32,"0.00") &amp; " kN/m²",D23 &amp; " kN/m³ · " &amp; D19 &amp; " m · " &amp; D24 &amp; " + " &amp; D25 &amp; " kN/m² · " &amp; D24 &amp; " − 2 · " &amp; D26 &amp; " kN/m² · √" &amp; D24 &amp; " + 10 kN/m³ · (" &amp; D19 &amp; " − " &amp; D20 &amp; ") = " &amp; TEXT(D32,"0.00") &amp; " kN/m²"))</f>
        <v>20 kN/m³ · 8 m · 0.296 + 10 kN/m² · 0.296 − 2 · 5 kN/m² · √0.296 = 44.88 kN/m²</v>
      </c>
      <c r="H32" s="63"/>
      <c r="I32" s="63"/>
      <c r="J32" s="63"/>
      <c r="K32" s="63"/>
      <c r="L32" s="63"/>
      <c r="M32" s="63"/>
      <c r="N32" s="64"/>
    </row>
    <row r="33" spans="3:18" ht="15" thickBot="1">
      <c r="C33" s="49" t="s">
        <v>76</v>
      </c>
      <c r="D33" s="95">
        <f>IF(OR(D24=0,D21=0),"-",(2*D26*SQRT(D24)-D25*D24)/(D21*D24))</f>
        <v>0.41901827761725979</v>
      </c>
      <c r="E33" s="46" t="s">
        <v>77</v>
      </c>
      <c r="F33" s="47" t="s">
        <v>65</v>
      </c>
      <c r="G33" s="85" t="str">
        <f>IF(OR(D24=0,D21=0),"-","(2 · " &amp; D26 &amp; " kN/m² · √" &amp; D24 &amp; " − " &amp; D25 &amp; " kN/m² · " &amp; D24 &amp; ") ÷ (" &amp; D21 &amp; " kN/m³ · " &amp; D24 &amp; ") = " &amp; TEXT((2*D26*SQRT(D24)-D25*D24)/(D21*D24),"0.00") &amp; " m")</f>
        <v>(2 · 5 kN/m² · √0.296 − 10 kN/m² · 0.296) ÷ (20 kN/m³ · 0.296) = 0.42 m</v>
      </c>
      <c r="H33" s="86"/>
      <c r="I33" s="86"/>
      <c r="J33" s="83"/>
      <c r="K33" s="83"/>
      <c r="L33" s="83"/>
      <c r="M33" s="83"/>
      <c r="N33" s="84"/>
    </row>
    <row r="34" spans="3:18">
      <c r="C34" s="71"/>
      <c r="D34" s="72"/>
      <c r="E34" s="72"/>
      <c r="F34" s="72"/>
      <c r="G34" s="72"/>
      <c r="H34" s="72"/>
      <c r="I34" s="73"/>
      <c r="R34" s="48"/>
    </row>
    <row r="35" spans="3:18">
      <c r="C35" s="74"/>
      <c r="D35" s="75"/>
      <c r="E35" s="75"/>
      <c r="F35" s="75"/>
      <c r="G35" s="75"/>
      <c r="H35" s="75"/>
      <c r="I35" s="76"/>
    </row>
    <row r="36" spans="3:18">
      <c r="C36" s="77"/>
      <c r="D36" s="78"/>
      <c r="E36" s="75"/>
      <c r="F36" s="75"/>
      <c r="G36" s="75"/>
      <c r="H36" s="75"/>
      <c r="I36" s="76"/>
      <c r="Q36" s="48"/>
    </row>
    <row r="37" spans="3:18">
      <c r="C37" s="77"/>
      <c r="D37" s="75"/>
      <c r="E37" s="75"/>
      <c r="F37" s="75"/>
      <c r="G37" s="75"/>
      <c r="H37" s="75"/>
      <c r="I37" s="76"/>
    </row>
    <row r="38" spans="3:18">
      <c r="C38" s="74"/>
      <c r="D38" s="78"/>
      <c r="E38" s="75"/>
      <c r="F38" s="75"/>
      <c r="G38" s="75"/>
      <c r="H38" s="75"/>
      <c r="I38" s="76"/>
    </row>
    <row r="39" spans="3:18">
      <c r="C39" s="74"/>
      <c r="D39" s="75"/>
      <c r="E39" s="75"/>
      <c r="F39" s="75"/>
      <c r="G39" s="75"/>
      <c r="H39" s="75"/>
      <c r="I39" s="76"/>
    </row>
    <row r="40" spans="3:18">
      <c r="C40" s="74"/>
      <c r="D40" s="75"/>
      <c r="E40" s="75"/>
      <c r="F40" s="75"/>
      <c r="G40" s="75"/>
      <c r="H40" s="75"/>
      <c r="I40" s="76"/>
    </row>
    <row r="41" spans="3:18">
      <c r="C41" s="74"/>
      <c r="D41" s="75"/>
      <c r="E41" s="78"/>
      <c r="F41" s="75"/>
      <c r="G41" s="75"/>
      <c r="H41" s="75"/>
      <c r="I41" s="76"/>
    </row>
    <row r="42" spans="3:18">
      <c r="C42" s="74"/>
      <c r="D42" s="75"/>
      <c r="E42" s="75"/>
      <c r="F42" s="75"/>
      <c r="G42" s="75"/>
      <c r="H42" s="75"/>
      <c r="I42" s="76"/>
    </row>
    <row r="43" spans="3:18">
      <c r="C43" s="74"/>
      <c r="D43" s="75"/>
      <c r="E43" s="75"/>
      <c r="F43" s="75"/>
      <c r="G43" s="75"/>
      <c r="H43" s="75"/>
      <c r="I43" s="76"/>
    </row>
    <row r="44" spans="3:18">
      <c r="C44" s="74"/>
      <c r="D44" s="75"/>
      <c r="E44" s="75"/>
      <c r="F44" s="75"/>
      <c r="G44" s="75"/>
      <c r="H44" s="75"/>
      <c r="I44" s="76"/>
    </row>
    <row r="45" spans="3:18">
      <c r="C45" s="74"/>
      <c r="D45" s="75"/>
      <c r="E45" s="75"/>
      <c r="F45" s="75"/>
      <c r="G45" s="75"/>
      <c r="H45" s="75"/>
      <c r="I45" s="76"/>
    </row>
    <row r="46" spans="3:18">
      <c r="C46" s="74"/>
      <c r="D46" s="75"/>
      <c r="E46" s="75"/>
      <c r="F46" s="75"/>
      <c r="G46" s="75"/>
      <c r="H46" s="75"/>
      <c r="I46" s="76"/>
    </row>
    <row r="47" spans="3:18">
      <c r="C47" s="74"/>
      <c r="D47" s="75"/>
      <c r="E47" s="75"/>
      <c r="F47" s="75"/>
      <c r="G47" s="75"/>
      <c r="H47" s="75"/>
      <c r="I47" s="76"/>
    </row>
    <row r="48" spans="3:18">
      <c r="C48" s="74"/>
      <c r="D48" s="75"/>
      <c r="E48" s="75"/>
      <c r="F48" s="75"/>
      <c r="G48" s="75"/>
      <c r="H48" s="75"/>
      <c r="I48" s="76"/>
    </row>
    <row r="49" spans="3:9">
      <c r="C49" s="74"/>
      <c r="D49" s="75"/>
      <c r="E49" s="75"/>
      <c r="F49" s="75"/>
      <c r="G49" s="75"/>
      <c r="H49" s="75"/>
      <c r="I49" s="76"/>
    </row>
    <row r="50" spans="3:9">
      <c r="C50" s="74"/>
      <c r="D50" s="75"/>
      <c r="E50" s="75"/>
      <c r="F50" s="75"/>
      <c r="G50" s="75"/>
      <c r="H50" s="75"/>
      <c r="I50" s="76"/>
    </row>
    <row r="51" spans="3:9">
      <c r="C51" s="74"/>
      <c r="D51" s="75"/>
      <c r="E51" s="75"/>
      <c r="F51" s="75"/>
      <c r="G51" s="75"/>
      <c r="H51" s="75"/>
      <c r="I51" s="76"/>
    </row>
    <row r="52" spans="3:9">
      <c r="C52" s="17"/>
      <c r="I52" s="38"/>
    </row>
    <row r="53" spans="3:9">
      <c r="C53" s="17"/>
      <c r="I53" s="38"/>
    </row>
    <row r="54" spans="3:9">
      <c r="C54" s="17"/>
      <c r="I54" s="38"/>
    </row>
    <row r="55" spans="3:9">
      <c r="C55" s="17"/>
      <c r="I55" s="38"/>
    </row>
    <row r="56" spans="3:9">
      <c r="C56" s="17"/>
      <c r="I56" s="38"/>
    </row>
    <row r="57" spans="3:9">
      <c r="C57" s="17"/>
      <c r="I57" s="38"/>
    </row>
    <row r="58" spans="3:9">
      <c r="C58" s="17"/>
      <c r="I58" s="38"/>
    </row>
    <row r="59" spans="3:9" ht="15" thickBot="1">
      <c r="C59" s="39"/>
      <c r="D59" s="51"/>
      <c r="E59" s="51"/>
      <c r="F59" s="51"/>
      <c r="G59" s="51"/>
      <c r="H59" s="51"/>
      <c r="I59" s="52"/>
    </row>
  </sheetData>
  <sheetProtection selectLockedCells="1"/>
  <mergeCells count="13">
    <mergeCell ref="G33:N33"/>
    <mergeCell ref="B3:F3"/>
    <mergeCell ref="B11:F11"/>
    <mergeCell ref="E14:G14"/>
    <mergeCell ref="E12:G12"/>
    <mergeCell ref="B17:F17"/>
    <mergeCell ref="G31:N31"/>
    <mergeCell ref="G32:N32"/>
    <mergeCell ref="G27:N27"/>
    <mergeCell ref="G18:N18"/>
    <mergeCell ref="G30:N30"/>
    <mergeCell ref="G29:N29"/>
    <mergeCell ref="G28:N28"/>
  </mergeCells>
  <conditionalFormatting sqref="D33">
    <cfRule type="cellIs" dxfId="1" priority="1" operator="lessThan">
      <formula>1.5</formula>
    </cfRule>
    <cfRule type="cellIs" dxfId="0" priority="2" operator="greaterThanOrEqual">
      <formula>1.5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4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5506BEE-D135-434F-8C70-4B39D17B75DD}">
          <x14:formula1>
            <xm:f>Erdrukarten!$A$8:$A$10</xm:f>
          </x14:formula1>
          <xm:sqref>D9 D15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D6 D13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D7:D8</xm:sqref>
        </x14:dataValidation>
        <x14:dataValidation type="list" allowBlank="1" showInputMessage="1" showErrorMessage="1" xr:uid="{DD528D27-5CB6-D64C-8E71-E73BD9326158}">
          <x14:formula1>
            <xm:f>Erdrukarten!$A$1:$A$2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dimension ref="A1:C21"/>
  <sheetViews>
    <sheetView workbookViewId="0">
      <selection activeCell="B21" sqref="B21"/>
    </sheetView>
  </sheetViews>
  <sheetFormatPr baseColWidth="10" defaultRowHeight="14.4"/>
  <cols>
    <col min="1" max="1" width="21.77734375" customWidth="1"/>
  </cols>
  <sheetData>
    <row r="1" spans="1:3">
      <c r="A1" t="s">
        <v>85</v>
      </c>
      <c r="B1">
        <f>Home!D19</f>
        <v>8</v>
      </c>
      <c r="C1">
        <f>Home!D19</f>
        <v>8</v>
      </c>
    </row>
    <row r="2" spans="1:3">
      <c r="A2" t="s">
        <v>87</v>
      </c>
      <c r="B2">
        <v>0</v>
      </c>
      <c r="C2">
        <f>Home!D19*TAN(RADIANS(Home!D7))</f>
        <v>1.4106158456677198</v>
      </c>
    </row>
    <row r="3" spans="1:3">
      <c r="A3" t="s">
        <v>86</v>
      </c>
      <c r="B3">
        <f>Home!D19</f>
        <v>8</v>
      </c>
      <c r="C3">
        <v>0</v>
      </c>
    </row>
    <row r="4" spans="1:3">
      <c r="A4" t="s">
        <v>88</v>
      </c>
      <c r="B4">
        <f>Home!$D$19*TAN(RADIANS(Home!$D$7))</f>
        <v>1.4106158456677198</v>
      </c>
      <c r="C4">
        <f>Home!D19</f>
        <v>8</v>
      </c>
    </row>
    <row r="5" spans="1:3">
      <c r="A5" t="s">
        <v>89</v>
      </c>
      <c r="B5">
        <v>0</v>
      </c>
      <c r="C5">
        <f>-(Home!$D$19*TAN(RADIANS(Home!$D$8)))</f>
        <v>-1.4106158456677198</v>
      </c>
    </row>
    <row r="7" spans="1:3">
      <c r="A7" t="s">
        <v>91</v>
      </c>
      <c r="B7">
        <v>0</v>
      </c>
      <c r="C7">
        <f>Home!D19</f>
        <v>8</v>
      </c>
    </row>
    <row r="8" spans="1:3">
      <c r="A8" t="s">
        <v>90</v>
      </c>
      <c r="B8" s="48">
        <f>Home!D31</f>
        <v>-2.480588203494178</v>
      </c>
      <c r="C8" s="48">
        <f>Home!D32</f>
        <v>44.879411796505821</v>
      </c>
    </row>
    <row r="10" spans="1:3">
      <c r="A10" t="s">
        <v>93</v>
      </c>
      <c r="B10">
        <v>0</v>
      </c>
      <c r="C10">
        <f>Home!D19</f>
        <v>8</v>
      </c>
    </row>
    <row r="11" spans="1:3">
      <c r="A11" t="s">
        <v>92</v>
      </c>
      <c r="B11">
        <v>0</v>
      </c>
      <c r="C11">
        <v>0</v>
      </c>
    </row>
    <row r="13" spans="1:3">
      <c r="A13" t="s">
        <v>94</v>
      </c>
      <c r="B13">
        <f>Home!D19</f>
        <v>8</v>
      </c>
      <c r="C13">
        <f>Home!D19</f>
        <v>8</v>
      </c>
    </row>
    <row r="14" spans="1:3">
      <c r="A14" t="s">
        <v>95</v>
      </c>
      <c r="B14">
        <v>0</v>
      </c>
      <c r="C14" s="48">
        <f>Home!D32</f>
        <v>44.879411796505821</v>
      </c>
    </row>
    <row r="16" spans="1:3">
      <c r="A16" t="s">
        <v>96</v>
      </c>
      <c r="B16" s="48">
        <f>Home!D31</f>
        <v>-2.480588203494178</v>
      </c>
      <c r="C16">
        <v>0</v>
      </c>
    </row>
    <row r="17" spans="1:3">
      <c r="A17" t="s">
        <v>97</v>
      </c>
      <c r="B17">
        <v>0</v>
      </c>
      <c r="C17">
        <v>0</v>
      </c>
    </row>
    <row r="19" spans="1:3">
      <c r="A19" t="s">
        <v>98</v>
      </c>
      <c r="B19">
        <f>Home!D33</f>
        <v>0.41901827761725979</v>
      </c>
    </row>
    <row r="21" spans="1:3">
      <c r="A21" t="s">
        <v>112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5546875" defaultRowHeight="14.4"/>
  <cols>
    <col min="1" max="1" width="25.109375" bestFit="1" customWidth="1"/>
    <col min="2" max="2" width="18.4414062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H1" zoomScale="113" workbookViewId="0">
      <selection activeCell="V32" sqref="V32"/>
    </sheetView>
  </sheetViews>
  <sheetFormatPr baseColWidth="10" defaultColWidth="8.77734375" defaultRowHeight="14.4"/>
  <cols>
    <col min="4" max="4" width="4.77734375" bestFit="1" customWidth="1"/>
  </cols>
  <sheetData>
    <row r="2" spans="2:31" ht="15.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68" t="s">
        <v>8</v>
      </c>
      <c r="C4" s="68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69"/>
      <c r="C5" s="69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65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66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66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66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67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65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66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66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66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67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65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66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66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66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67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65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66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66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66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67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65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66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66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66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67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5546875" defaultRowHeight="14.4"/>
  <cols>
    <col min="4" max="4" width="4.44140625" bestFit="1" customWidth="1"/>
  </cols>
  <sheetData>
    <row r="2" spans="2:25" ht="15.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68" t="s">
        <v>8</v>
      </c>
      <c r="C4" s="68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70"/>
      <c r="C5" s="70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5546875" defaultRowHeight="14.4"/>
  <sheetData>
    <row r="2" spans="2:12" ht="15.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Jerry</cp:lastModifiedBy>
  <dcterms:created xsi:type="dcterms:W3CDTF">2025-02-11T15:00:34Z</dcterms:created>
  <dcterms:modified xsi:type="dcterms:W3CDTF">2025-04-24T12:59:10Z</dcterms:modified>
</cp:coreProperties>
</file>