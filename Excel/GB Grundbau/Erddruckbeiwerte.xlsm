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5" codeName="{6A26FB3C-EA34-E94E-B44F-155022A03E1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4FCE75C4-ECFE-1A45-BDAD-D51289DC38F9}" xr6:coauthVersionLast="47" xr6:coauthVersionMax="47" xr10:uidLastSave="{00000000-0000-0000-0000-000000000000}"/>
  <bookViews>
    <workbookView xWindow="14440" yWindow="780" windowWidth="34200" windowHeight="20140" xr2:uid="{00000000-000D-0000-FFFF-FFFF00000000}"/>
  </bookViews>
  <sheets>
    <sheet name="Home" sheetId="4" r:id="rId1"/>
    <sheet name="Erdrukarten" sheetId="5" state="hidden" r:id="rId2"/>
    <sheet name="aktiver Erddruckbeiwert" sheetId="1" r:id="rId3"/>
    <sheet name="passiver Erddruckbeiwerte" sheetId="2" r:id="rId4"/>
    <sheet name="Ruhedruckbeiwert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AE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<sst xmlns="http://schemas.openxmlformats.org/spreadsheetml/2006/main" count="114" uniqueCount="58">
  <si>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</si>
  <si>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</si>
  <si>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</si>
  <si>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</si>
  <si>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</si>
  <si>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</si>
  <si>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</si>
  <si>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</si>
  <si>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</si>
  <si>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</si>
  <si>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</si>
  <si>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</si>
  <si>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</si>
  <si>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</si>
  <si>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</si>
  <si>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</si>
  <si>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</si>
  <si>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</si>
  <si>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</si>
  <si>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</si>
  <si>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</si>
  <si>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</si>
  <si>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</si>
  <si>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</si>
  <si>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</si>
  <si>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</si>
  <si>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</si>
  <si>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</si>
  <si>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</si>
  <si>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</si>
  <si>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</si>
  <si>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</si>
  <si>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</si>
  <si>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</si>
  <si>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</si>
  <si>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</si>
  <si>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</si>
  <si>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</si>
  <si>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</si>
  <si>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</si>
  <si>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</si>
  <si>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</si>
  <si>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</si>
  <si>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</si>
  <si>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Auswahl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</si>
  <si>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</si>
  <si>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</si>
  <si>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</si>
  <si>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</si>
  <si>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</si>
  <si>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</si>
  <si>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</si>
  <si>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</si>
  <si>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</si>
  <si>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r>
      <t xml:space="preserve">Grundbau - </t>
    </r>
    <r>
      <rPr>
        <b/>
        <sz val="12"/>
        <color theme="0"/>
        <rFont val="Calibri (Textkörper)"/>
      </rPr>
      <t>Erdruckbeiwerte aus der Tabelle nach Blum</t>
    </r>
  </si>
  <si>
    <t>β (Böschungsneigung bzw. Neigung der Terrainoberfläche.)</t>
  </si>
  <si>
    <t>α (Wandneigung)</t>
  </si>
  <si>
    <t>φ = ϕ (Winkel der inneren Reibung, Reibungswinkel)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</si>
</sst>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 (Textkörper)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2" fillId="3" borderId="24" xfId="2" applyFont="1" applyBorder="1"/>
    <xf numFmtId="0" fontId="8" fillId="0" borderId="0" xfId="0" applyFont="1"/>
    <xf numFmtId="0" fontId="0" fillId="0" borderId="19" xfId="0" applyBorder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2" fontId="13" fillId="5" borderId="30" xfId="3" applyNumberFormat="1" applyFont="1" applyBorder="1" applyAlignment="1" applyProtection="1">
      <alignment horizontal="right" vertical="center"/>
    </xf>
    <xf numFmtId="0" fontId="1" fillId="0" borderId="23" xfId="0" applyFont="1" applyBorder="1" applyAlignment="1">
      <alignment horizontal="right"/>
    </xf>
    <xf numFmtId="0" fontId="7" fillId="3" borderId="28" xfId="2" applyBorder="1" applyProtection="1"/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right"/>
    </xf>
    <xf numFmtId="168" fontId="7" fillId="3" borderId="31" xfId="2" applyNumberFormat="1" applyBorder="1" applyProtection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16"/>
  <sheetViews>
    <sheetView tabSelected="1" zoomScale="161" workbookViewId="0">
      <selection activeCell="G1" sqref="G1"/>
    </sheetView>
  </sheetViews>
  <sheetFormatPr baseColWidth="10" defaultRowHeight="15"/>
  <cols>
    <col min="1" max="1" width="8" customWidth="1"/>
    <col min="2" max="2" width="5.1640625" customWidth="1"/>
    <col min="3" max="3" width="46.5" bestFit="1" customWidth="1"/>
    <col min="4" max="4" width="28.33203125" customWidth="1"/>
    <col min="5" max="5" width="9" customWidth="1"/>
    <col min="6" max="6" width="15.1640625" customWidth="1"/>
  </cols>
  <sheetData>
    <row r="1" spans="1:19" ht="20" thickBot="1">
      <c r="A1" s="32" t="s">
        <v>54</v>
      </c>
      <c r="B1" s="33"/>
      <c r="C1" s="33"/>
      <c r="D1" s="33"/>
      <c r="E1" s="34"/>
      <c r="F1" s="34"/>
      <c r="G1" s="35"/>
      <c r="H1" s="34"/>
      <c r="I1" s="34"/>
      <c r="J1" s="36" t="s">
        <v>45</v>
      </c>
      <c r="K1" s="37"/>
      <c r="L1" s="14"/>
      <c r="M1" s="14" t="s">
        <v>46</v>
      </c>
      <c r="N1" s="14" t="s">
        <v>47</v>
      </c>
      <c r="O1" s="14" t="s">
        <v>48</v>
      </c>
      <c r="P1" s="14" t="s">
        <v>49</v>
      </c>
      <c r="Q1" s="14" t="s">
        <v>50</v>
      </c>
      <c r="R1" s="14" t="s">
        <v>51</v>
      </c>
      <c r="S1" s="14" t="s">
        <v>52</v>
      </c>
    </row>
    <row r="3" spans="1:19" ht="16" thickBot="1"/>
    <row r="4" spans="1:19" ht="16" thickBot="1">
      <c r="B4" s="28"/>
      <c r="C4" s="30" t="s">
        <v>22</v>
      </c>
      <c r="D4" s="30" t="s">
        <v>44</v>
      </c>
      <c r="E4" s="29"/>
      <c r="F4" s="31" t="s">
        <v>43</v>
      </c>
    </row>
    <row r="5" spans="1:19">
      <c r="C5" s="16" t="s">
        <v>41</v>
      </c>
      <c r="D5" s="26" t="s">
        <v>19</v>
      </c>
      <c r="E5" s="23"/>
      <c r="F5" s="17"/>
    </row>
    <row r="6" spans="1:19">
      <c r="C6" s="18" t="s">
        <v>57</v>
      </c>
      <c r="D6" s="25">
        <v>27.5</v>
      </c>
      <c r="E6" s="13"/>
      <c r="F6" s="24"/>
    </row>
    <row r="7" spans="1:19">
      <c r="C7" s="18" t="s">
        <v>56</v>
      </c>
      <c r="D7" s="27">
        <v>10</v>
      </c>
      <c r="E7" s="13"/>
      <c r="F7" s="19"/>
    </row>
    <row r="8" spans="1:19">
      <c r="C8" s="18" t="s">
        <v>55</v>
      </c>
      <c r="D8" s="25">
        <v>10</v>
      </c>
      <c r="E8" s="13"/>
      <c r="F8" s="19"/>
    </row>
    <row r="9" spans="1:19" ht="17" thickBot="1">
      <c r="C9" s="20" t="s">
        <v>40</v>
      </c>
      <c r="D9" s="38" t="s">
        <v>25</v>
      </c>
      <c r="E9" s="21" t="str">
        <f>VLOOKUP(D9,Tabelle1[],2,FALSE)</f>
        <v>2/3 φ</v>
      </c>
      <c r="F9" s="39" t="str">
        <f>VLOOKUP(D9,Tabelle1[],3,FALSE)</f>
        <v>z.B. Beton</v>
      </c>
    </row>
    <row r="10" spans="1:19" ht="17" thickBot="1">
      <c r="C10" s="40" t="s">
        <v>42</v>
      </c>
      <c r="D10" s="41" cm="1">
        <f t="array" ref="D10">GetKahValue(D7, D8, D6, E9, D5)</f>
        <v>0.29599999999999999</v>
      </c>
    </row>
    <row r="13" spans="1:19" ht="16" thickBot="1"/>
    <row r="14" spans="1:19" ht="16" thickBot="1">
      <c r="B14" s="28"/>
      <c r="C14" s="30" t="s">
        <v>53</v>
      </c>
      <c r="D14" s="30"/>
      <c r="E14" s="29"/>
      <c r="F14" s="31"/>
    </row>
    <row r="15" spans="1:19" ht="16" thickBot="1">
      <c r="C15" s="18" t="s">
        <v>18</v>
      </c>
      <c r="D15" s="27">
        <v>22.5</v>
      </c>
    </row>
    <row r="16" spans="1:19" ht="17" thickBot="1">
      <c r="C16" s="48" t="s">
        <v>42</v>
      </c>
      <c r="D16" s="49">
        <f>1 - SIN(RADIANS(D15))</f>
        <v>0.61731656763491016</v>
      </c>
    </row>
  </sheetData>
  <sheetProtection algorithmName="SHA-512" hashValue="ACKUcGDgNJ2xL6t0n9sAIM7gtXbzwO86M8BGGHc88WIpYliyTeDZff+6D4Iu67qF25WIv1g62gCV9i+T5mMWWA==" saltValue="LGtGW6rhzxfj7cRhMksuKQ==" spinCount="100000" sheet="1" objects="1" scenarios="1" selectLockedCells="1"/>
  <hyperlinks>
    <hyperlink ref="J1" r:id="rId1" xr:uid="{DBCD52DC-6ABE-584D-AAAA-8646C3868235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D15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showGridLines="0" showRowColHeaders="0" topLeftCell="C1" zoomScale="113" workbookViewId="0">
      <selection activeCell="P12" sqref="P1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s="14" t="str">
        <f>W4&amp;W5</f>
        <v>35φ</v>
      </c>
      <c r="X3" s="14" t="str">
        <f t="shared" ref="X3" si="13">X4&amp;X5</f>
        <v>351/3 φ</v>
      </c>
      <c r="Y3" s="14" t="str">
        <f t="shared" ref="Y3" si="14">Y4&amp;Y5</f>
        <v>352/3 φ</v>
      </c>
      <c r="Z3" s="14" t="str">
        <f t="shared" ref="Z3" si="15">Z4&amp;Z5</f>
        <v>37.5φ</v>
      </c>
      <c r="AA3" s="14" t="str">
        <f t="shared" ref="AA3" si="16">AA4&amp;AA5</f>
        <v>37.51/3 φ</v>
      </c>
      <c r="AB3" s="14" t="str">
        <f t="shared" ref="AB3" si="17">AB4&amp;AB5</f>
        <v>37.52/3 φ</v>
      </c>
      <c r="AC3" s="14" t="str">
        <f t="shared" ref="AC3" si="18">AC4&amp;AC5</f>
        <v>40φ</v>
      </c>
      <c r="AD3" s="14" t="str">
        <f t="shared" ref="AD3" si="19">AD4&amp;AD5</f>
        <v>401/3 φ</v>
      </c>
      <c r="AE3" s="14" t="str">
        <f t="shared" ref="AE3" si="20">AE4&amp;AE5</f>
        <v>402/3 φ</v>
      </c>
    </row>
    <row r="4" spans="2:31">
      <c r="B4" s="45" t="s">
        <v>8</v>
      </c>
      <c r="C4" s="45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46"/>
      <c r="C5" s="46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42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43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43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43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44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42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43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43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43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44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42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43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43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43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44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42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43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43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43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44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42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43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43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43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44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22"/>
      <c r="F34" s="22"/>
      <c r="G34" s="22"/>
      <c r="H34" s="22"/>
    </row>
    <row r="35" spans="5:8" ht="18" customHeight="1">
      <c r="E35" s="22"/>
      <c r="F35" s="22"/>
      <c r="G35" s="22"/>
      <c r="H35" s="22"/>
    </row>
    <row r="36" spans="5:8" ht="18" customHeight="1">
      <c r="E36" s="22"/>
      <c r="F36" s="22"/>
      <c r="G36" s="22"/>
      <c r="H36" s="22"/>
    </row>
    <row r="37" spans="5:8" ht="18" customHeight="1">
      <c r="E37" s="22"/>
      <c r="F37" s="22"/>
      <c r="G37" s="22"/>
      <c r="H37" s="22"/>
    </row>
    <row r="38" spans="5:8" ht="15" customHeight="1">
      <c r="E38" s="22"/>
      <c r="F38" s="22"/>
      <c r="G38" s="22"/>
      <c r="H38" s="22"/>
    </row>
  </sheetData>
  <sheetProtection algorithmName="SHA-512" hashValue="hqC2RNxH/4JQ1//J8GwaWOVHOadI53M8vv/7bf33JT2GwnAknUwGGULaqiP/vFnuwUyIrDuhIrm78+n9Z5OFZw==" saltValue="vO9btXalMYNrTmIkQm5WmQ==" spinCount="100000" sheet="1" objects="1" scenarios="1"/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45" t="s">
        <v>8</v>
      </c>
      <c r="C4" s="45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47"/>
      <c r="C5" s="47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Home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2025-04-23T21:44:30Z</dcterms:modified>
</cp:coreProperties>
</file>