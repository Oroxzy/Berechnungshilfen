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4866C79E-9C95-4BD6-849A-A2E6B9CB2993}" xr6:coauthVersionLast="47" xr6:coauthVersionMax="47" xr10:uidLastSave="{00000000-0000-0000-0000-000000000000}"/>
  <bookViews>
    <workbookView xWindow="684" yWindow="180" windowWidth="29472" windowHeight="16416" xr2:uid="{00000000-000D-0000-FFFF-FFFF00000000}"/>
  </bookViews>
  <sheets>
    <sheet name="Home" sheetId="4" r:id="rId1"/>
    <sheet name="Erdrukarten" sheetId="5" state="hidden" r:id="rId2"/>
    <sheet name="aktiver Erddruckbeiwert" sheetId="1" r:id="rId3"/>
    <sheet name="passiver Erddruckbeiwerte" sheetId="2" r:id="rId4"/>
    <sheet name="Ruhedruckbeiwert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4" l="1"/>
  <c r="D14" i="4"/>
  <c r="P3" i="2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9" i="4"/>
  <c r="E9" i="4"/>
  <c r="W3" i="1"/>
  <c r="X3" i="1"/>
  <c r="Y3" i="1"/>
  <c r="Z3" i="1"/>
  <c r="AA3" i="1"/>
  <c r="AB3" i="1"/>
  <c r="AC3" i="1"/>
  <c r="AD3" i="1"/>
  <c r="AE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10" i="4" a="1"/>
  <c r="D10" i="4" l="1"/>
  <c r="D21" i="4" s="1"/>
  <c r="D26" i="4" l="1"/>
  <c r="G26" i="4"/>
  <c r="D25" i="4"/>
  <c r="G25" i="4" s="1"/>
  <c r="D24" i="4"/>
  <c r="G24" i="4" s="1"/>
  <c r="D27" i="4"/>
  <c r="G2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<sst xmlns="http://schemas.openxmlformats.org/spreadsheetml/2006/main" count="151" uniqueCount="84">
  <si>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</si>
  <si>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</si>
  <si>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</si>
  <si>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</si>
  <si>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</si>
  <si>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</si>
  <si>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</si>
  <si>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</si>
  <si>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</si>
  <si>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</si>
  <si>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</si>
  <si>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</si>
  <si>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</si>
  <si>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</si>
  <si>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</si>
  <si>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</si>
  <si>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</si>
  <si>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</si>
  <si>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ϕ (Reibungswinkel):</t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</si>
  <si>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</si>
  <si>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</si>
  <si>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</si>
  <si>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</si>
  <si>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</si>
  <si>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</si>
  <si>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</si>
  <si>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</si>
  <si>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</si>
  <si>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</si>
  <si>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</si>
  <si>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</si>
  <si>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</si>
  <si>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</si>
  <si>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</si>
  <si>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</si>
  <si>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</si>
  <si>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</si>
  <si>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</si>
  <si>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</si>
  <si>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</si>
  <si>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</si>
  <si>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Erdruck Typ</t>
  </si>
  <si>
    <t>Erddruckbeiwert:</t>
  </si>
  <si>
    <t>info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</si>
  <si>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</si>
  <si>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</si>
  <si>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</si>
  <si>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</si>
  <si>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</si>
  <si>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</si>
  <si>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</si>
  <si>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</si>
  <si>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</si>
  <si>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α (Wandneigung)</t>
  </si>
  <si>
    <t>φ = ϕ (Winkel der inneren Reibung, Reibungswinkel)</t>
  </si>
  <si>
    <t>β (Böschungsneigung bzw. Neigung der Terrainoberfläche)</t>
  </si>
  <si>
    <t>Bezeichnung</t>
  </si>
  <si>
    <t>Wandhöhe</t>
  </si>
  <si>
    <t>Bodengewicht (spezifisches Gewicht)</t>
  </si>
  <si>
    <t>horizontaler aktiver Erddruckbeiwert (z. B. nach Blum)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</si>
  <si>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</si>
  <si>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</si>
  <si>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</si>
  <si>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</si>
  <si>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</si>
  <si>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</si>
  <si>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</si>
  <si>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</si>
  <si>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</si>
  <si>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</si>
  <si>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</si>
  <si>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</si>
  <si>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</si>
  <si>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</si>
  <si>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r>
      <t>γ</t>
    </r>
    <r>
      <rPr>
        <sz val="11"/>
        <color theme="1"/>
        <rFont val="Calibri"/>
        <family val="2"/>
        <scheme val="minor"/>
      </rPr>
      <t xml:space="preserve"> (gamma)</t>
    </r>
  </si>
  <si>
    <t>Grundbau Erddruck</t>
  </si>
  <si>
    <t>Horizontalen, Aktiver &amp; Passiver Erddruckbeiwert aus der Tabelle nach Blum</t>
  </si>
  <si>
    <t>Eigengewicht</t>
  </si>
  <si>
    <t>Oberlast</t>
  </si>
  <si>
    <t>Kohäsion</t>
  </si>
  <si>
    <t>Dreieck</t>
  </si>
  <si>
    <t>Rechteck</t>
  </si>
  <si>
    <r>
      <t>Eah = horizontaler aktiver Erddruck</t>
    </r>
    <r>
      <rPr>
        <b/>
        <i/>
        <sz val="9"/>
        <color theme="1"/>
        <rFont val="Calibri"/>
        <family val="2"/>
        <scheme val="minor"/>
      </rPr>
      <t xml:space="preserve">     (Das ist eine Kraft pro Meter Wandlänge)</t>
    </r>
  </si>
  <si>
    <t>Eah (Total)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</si>
</sst>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9" formatCode="#,##0.000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rgb="FF3F3F3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medium">
        <color indexed="64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9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9" fillId="0" borderId="22" xfId="0" applyFont="1" applyBorder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7" xfId="1" applyNumberFormat="1" applyFont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9" xfId="1" applyFont="1" applyBorder="1" applyAlignment="1" applyProtection="1">
      <alignment horizontal="right" vertical="center"/>
      <protection locked="0"/>
    </xf>
    <xf numFmtId="0" fontId="1" fillId="0" borderId="2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0" xfId="0" applyFont="1"/>
    <xf numFmtId="0" fontId="0" fillId="0" borderId="18" xfId="0" applyFont="1" applyBorder="1"/>
    <xf numFmtId="0" fontId="0" fillId="0" borderId="19" xfId="0" applyFont="1" applyBorder="1"/>
    <xf numFmtId="0" fontId="0" fillId="0" borderId="20" xfId="0" applyFont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2" fontId="0" fillId="5" borderId="30" xfId="3" applyNumberFormat="1" applyFont="1" applyBorder="1" applyAlignment="1" applyProtection="1">
      <alignment horizontal="right" vertical="center"/>
    </xf>
    <xf numFmtId="0" fontId="0" fillId="2" borderId="32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2" fontId="0" fillId="5" borderId="15" xfId="3" applyNumberFormat="1" applyFont="1" applyBorder="1" applyAlignment="1" applyProtection="1">
      <alignment horizontal="center" vertical="center"/>
    </xf>
    <xf numFmtId="2" fontId="0" fillId="5" borderId="16" xfId="3" applyNumberFormat="1" applyFont="1" applyBorder="1" applyAlignment="1" applyProtection="1">
      <alignment horizontal="center" vertical="center"/>
    </xf>
    <xf numFmtId="2" fontId="0" fillId="5" borderId="17" xfId="3" applyNumberFormat="1" applyFont="1" applyBorder="1" applyAlignment="1" applyProtection="1">
      <alignment horizontal="center" vertical="center"/>
    </xf>
    <xf numFmtId="0" fontId="18" fillId="3" borderId="28" xfId="2" applyFont="1" applyBorder="1" applyProtection="1"/>
    <xf numFmtId="164" fontId="18" fillId="3" borderId="31" xfId="2" applyNumberFormat="1" applyFont="1" applyBorder="1" applyProtection="1"/>
    <xf numFmtId="0" fontId="0" fillId="8" borderId="21" xfId="0" applyFill="1" applyBorder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0" fontId="20" fillId="9" borderId="38" xfId="3" applyFont="1" applyFill="1" applyBorder="1" applyAlignment="1" applyProtection="1">
      <alignment horizontal="left" vertical="center"/>
    </xf>
    <xf numFmtId="0" fontId="20" fillId="9" borderId="39" xfId="3" applyFont="1" applyFill="1" applyBorder="1" applyAlignment="1" applyProtection="1">
      <alignment horizontal="left" vertical="center"/>
    </xf>
    <xf numFmtId="0" fontId="20" fillId="5" borderId="35" xfId="3" applyFont="1" applyBorder="1" applyAlignment="1" applyProtection="1">
      <alignment horizontal="left"/>
    </xf>
    <xf numFmtId="0" fontId="20" fillId="5" borderId="36" xfId="3" applyFont="1" applyBorder="1" applyAlignment="1" applyProtection="1">
      <alignment horizontal="left"/>
    </xf>
    <xf numFmtId="0" fontId="20" fillId="5" borderId="37" xfId="3" applyFont="1" applyBorder="1" applyAlignment="1" applyProtection="1">
      <alignment horizontal="left"/>
    </xf>
    <xf numFmtId="0" fontId="17" fillId="8" borderId="21" xfId="0" applyFont="1" applyFill="1" applyBorder="1" applyAlignment="1">
      <alignment horizontal="right"/>
    </xf>
    <xf numFmtId="0" fontId="17" fillId="0" borderId="21" xfId="0" applyFont="1" applyBorder="1" applyAlignment="1">
      <alignment horizontal="right"/>
    </xf>
    <xf numFmtId="169" fontId="0" fillId="8" borderId="12" xfId="0" applyNumberFormat="1" applyFill="1" applyBorder="1"/>
    <xf numFmtId="169" fontId="0" fillId="0" borderId="12" xfId="0" applyNumberFormat="1" applyBorder="1"/>
    <xf numFmtId="0" fontId="0" fillId="2" borderId="27" xfId="1" applyFont="1" applyBorder="1" applyAlignment="1" applyProtection="1">
      <alignment horizontal="right" vertical="center"/>
      <protection locked="0"/>
    </xf>
    <xf numFmtId="0" fontId="0" fillId="0" borderId="40" xfId="0" applyBorder="1"/>
    <xf numFmtId="0" fontId="0" fillId="0" borderId="0" xfId="0" applyFont="1" applyBorder="1"/>
    <xf numFmtId="0" fontId="20" fillId="9" borderId="41" xfId="3" applyFont="1" applyFill="1" applyBorder="1" applyAlignment="1" applyProtection="1">
      <alignment horizontal="left" vertical="center"/>
    </xf>
    <xf numFmtId="0" fontId="1" fillId="0" borderId="23" xfId="0" applyFont="1" applyFill="1" applyBorder="1" applyAlignment="1">
      <alignment horizontal="right"/>
    </xf>
    <xf numFmtId="169" fontId="1" fillId="0" borderId="42" xfId="0" applyNumberFormat="1" applyFont="1" applyBorder="1"/>
    <xf numFmtId="0" fontId="0" fillId="0" borderId="42" xfId="0" applyBorder="1"/>
    <xf numFmtId="0" fontId="0" fillId="0" borderId="43" xfId="0" applyBorder="1"/>
    <xf numFmtId="0" fontId="20" fillId="9" borderId="44" xfId="3" applyFont="1" applyFill="1" applyBorder="1" applyAlignment="1" applyProtection="1">
      <alignment horizontal="left" vertical="center"/>
    </xf>
    <xf numFmtId="0" fontId="20" fillId="9" borderId="33" xfId="3" applyFont="1" applyFill="1" applyBorder="1" applyAlignment="1" applyProtection="1">
      <alignment horizontal="left" vertical="center"/>
    </xf>
    <xf numFmtId="0" fontId="20" fillId="9" borderId="34" xfId="3" applyFont="1" applyFill="1" applyBorder="1" applyAlignment="1" applyProtection="1">
      <alignment horizontal="left" vertical="center"/>
    </xf>
    <xf numFmtId="0" fontId="1" fillId="10" borderId="18" xfId="0" applyFont="1" applyFill="1" applyBorder="1" applyAlignment="1">
      <alignment horizontal="left" wrapText="1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" fillId="10" borderId="18" xfId="0" applyFont="1" applyFill="1" applyBorder="1" applyAlignment="1">
      <alignment horizontal="left"/>
    </xf>
    <xf numFmtId="0" fontId="1" fillId="10" borderId="15" xfId="0" applyFont="1" applyFill="1" applyBorder="1" applyAlignment="1">
      <alignment horizontal="left"/>
    </xf>
    <xf numFmtId="0" fontId="1" fillId="10" borderId="16" xfId="0" applyFont="1" applyFill="1" applyBorder="1" applyAlignment="1">
      <alignment horizontal="left"/>
    </xf>
    <xf numFmtId="0" fontId="1" fillId="10" borderId="17" xfId="0" applyFont="1" applyFill="1" applyBorder="1" applyAlignment="1">
      <alignment horizontal="left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4" dataDxfId="3">
  <autoFilter ref="A7:C10" xr:uid="{707E511B-74A4-F541-9F33-03BA4AF4979A}"/>
  <tableColumns count="3">
    <tableColumn id="1" xr3:uid="{7477F713-430B-9E4B-9400-C343B7AFA31B}" name="Beschreibung" dataDxfId="2"/>
    <tableColumn id="2" xr3:uid="{7B48791E-28B8-A242-9E4D-EA858C9957E5}" name="δ in Bezug auf φ" dataDxfId="1"/>
    <tableColumn id="3" xr3:uid="{3ACBA7E2-23D9-0D43-A8A4-6130C1A6E15E}" name="Beispi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27"/>
  <sheetViews>
    <sheetView tabSelected="1" zoomScale="115" zoomScaleNormal="115" workbookViewId="0">
      <selection activeCell="K5" sqref="K5"/>
    </sheetView>
  </sheetViews>
  <sheetFormatPr baseColWidth="10" defaultRowHeight="14.4"/>
  <cols>
    <col min="1" max="1" width="8" style="43" customWidth="1"/>
    <col min="2" max="2" width="1.88671875" style="43" customWidth="1"/>
    <col min="3" max="3" width="51.88671875" style="43" customWidth="1"/>
    <col min="4" max="4" width="28.33203125" style="43" customWidth="1"/>
    <col min="5" max="5" width="13.109375" style="43" customWidth="1"/>
    <col min="6" max="6" width="18" style="43" customWidth="1"/>
    <col min="7" max="7" width="14.5546875" style="43" customWidth="1"/>
    <col min="8" max="16384" width="11.5546875" style="43"/>
  </cols>
  <sheetData>
    <row r="1" spans="1:19" ht="18.600000000000001" thickBot="1">
      <c r="A1" s="28" t="s">
        <v>75</v>
      </c>
      <c r="B1" s="29"/>
      <c r="C1" s="29"/>
      <c r="D1" s="29"/>
      <c r="E1" s="30"/>
      <c r="F1" s="30"/>
      <c r="G1" s="31"/>
      <c r="H1" s="30"/>
      <c r="I1" s="30"/>
      <c r="J1" s="32" t="s">
        <v>44</v>
      </c>
      <c r="K1" s="33"/>
      <c r="L1" s="14"/>
      <c r="M1" s="14" t="s">
        <v>45</v>
      </c>
      <c r="N1" s="14" t="s">
        <v>46</v>
      </c>
      <c r="O1" s="14" t="s">
        <v>47</v>
      </c>
      <c r="P1" s="14" t="s">
        <v>48</v>
      </c>
      <c r="Q1" s="14" t="s">
        <v>49</v>
      </c>
      <c r="R1" s="14" t="s">
        <v>50</v>
      </c>
      <c r="S1" s="14" t="s">
        <v>51</v>
      </c>
    </row>
    <row r="2" spans="1:19" ht="15" thickBot="1"/>
    <row r="3" spans="1:19" ht="15" thickBot="1">
      <c r="B3" s="88" t="s">
        <v>76</v>
      </c>
      <c r="C3" s="89"/>
      <c r="D3" s="89"/>
      <c r="E3" s="89"/>
      <c r="F3" s="90"/>
    </row>
    <row r="4" spans="1:19" ht="15" thickBot="1">
      <c r="B4" s="24"/>
      <c r="C4" s="26" t="s">
        <v>22</v>
      </c>
      <c r="D4" s="26" t="s">
        <v>67</v>
      </c>
      <c r="E4" s="25"/>
      <c r="F4" s="27" t="s">
        <v>43</v>
      </c>
    </row>
    <row r="5" spans="1:19">
      <c r="C5" s="44" t="s">
        <v>41</v>
      </c>
      <c r="D5" s="22" t="s">
        <v>19</v>
      </c>
      <c r="E5" s="45"/>
      <c r="F5" s="46"/>
    </row>
    <row r="6" spans="1:19">
      <c r="C6" s="47" t="s">
        <v>54</v>
      </c>
      <c r="D6" s="21">
        <v>27.5</v>
      </c>
      <c r="E6" s="13"/>
      <c r="F6" s="20"/>
    </row>
    <row r="7" spans="1:19">
      <c r="C7" s="47" t="s">
        <v>53</v>
      </c>
      <c r="D7" s="23">
        <v>10</v>
      </c>
      <c r="E7" s="13"/>
      <c r="F7" s="48"/>
    </row>
    <row r="8" spans="1:19">
      <c r="C8" s="47" t="s">
        <v>55</v>
      </c>
      <c r="D8" s="21">
        <v>10</v>
      </c>
      <c r="E8" s="13"/>
      <c r="F8" s="48"/>
    </row>
    <row r="9" spans="1:19" ht="16.2" thickBot="1">
      <c r="C9" s="49" t="s">
        <v>40</v>
      </c>
      <c r="D9" s="34" t="s">
        <v>25</v>
      </c>
      <c r="E9" s="18" t="str">
        <f>VLOOKUP(D9,Tabelle1[],2,FALSE)</f>
        <v>2/3 φ</v>
      </c>
      <c r="F9" s="50" t="str">
        <f>VLOOKUP(D9,Tabelle1[],3,FALSE)</f>
        <v>z.B. Beton</v>
      </c>
    </row>
    <row r="10" spans="1:19" ht="16.2" thickBot="1">
      <c r="C10" s="35" t="s">
        <v>42</v>
      </c>
      <c r="D10" s="58" cm="1">
        <f t="array" ref="D10">GetKahValue(D7, D8, D6, E9, D5)</f>
        <v>0.29599999999999999</v>
      </c>
    </row>
    <row r="11" spans="1:19" ht="15" thickBot="1">
      <c r="B11" s="87" t="s">
        <v>52</v>
      </c>
      <c r="C11" s="85" t="s">
        <v>52</v>
      </c>
      <c r="D11" s="85"/>
      <c r="E11" s="85"/>
      <c r="F11" s="86"/>
    </row>
    <row r="12" spans="1:19" ht="15" thickBot="1">
      <c r="B12" s="24"/>
      <c r="C12" s="26" t="s">
        <v>22</v>
      </c>
      <c r="D12" s="26" t="s">
        <v>67</v>
      </c>
      <c r="E12" s="53" t="s">
        <v>69</v>
      </c>
      <c r="F12" s="53"/>
      <c r="G12" s="54"/>
    </row>
    <row r="13" spans="1:19" ht="15" thickBot="1">
      <c r="C13" s="47" t="s">
        <v>18</v>
      </c>
      <c r="D13" s="51">
        <v>22.5</v>
      </c>
    </row>
    <row r="14" spans="1:19" ht="16.2" thickBot="1">
      <c r="C14" s="36" t="s">
        <v>42</v>
      </c>
      <c r="D14" s="59">
        <f>1 - SIN(RADIANS(D13))</f>
        <v>0.61731656763491016</v>
      </c>
      <c r="E14" s="55" t="str">
        <f>"= 1 − sin(" &amp; D13 &amp; "°) = 1 − " &amp; TEXT(SIN(RADIANS(D13)),"0.000") &amp; " = " &amp; TEXT(1-SIN(RADIANS(D13)),"0.000")</f>
        <v>= 1 − sin(22.5°) = 1 − 0.383 = 0.617</v>
      </c>
      <c r="F14" s="56"/>
      <c r="G14" s="57"/>
    </row>
    <row r="16" spans="1:19" ht="15" thickBot="1"/>
    <row r="17" spans="2:14" ht="15" thickBot="1">
      <c r="B17" s="84" t="s">
        <v>82</v>
      </c>
      <c r="C17" s="85" t="s">
        <v>52</v>
      </c>
      <c r="D17" s="85"/>
      <c r="E17" s="85"/>
      <c r="F17" s="86"/>
    </row>
    <row r="18" spans="2:14" ht="15" thickBot="1">
      <c r="B18" s="52"/>
      <c r="C18" s="26" t="s">
        <v>22</v>
      </c>
      <c r="D18" s="26" t="s">
        <v>67</v>
      </c>
      <c r="E18" s="26" t="s">
        <v>56</v>
      </c>
      <c r="F18" s="26" t="s">
        <v>66</v>
      </c>
      <c r="G18" s="53" t="s">
        <v>69</v>
      </c>
      <c r="H18" s="53"/>
      <c r="I18" s="53"/>
      <c r="J18" s="53"/>
      <c r="K18" s="53"/>
      <c r="L18" s="53"/>
      <c r="M18" s="53"/>
      <c r="N18" s="54"/>
    </row>
    <row r="19" spans="2:14">
      <c r="C19" s="16" t="s">
        <v>57</v>
      </c>
      <c r="D19" s="73">
        <v>8</v>
      </c>
      <c r="E19" s="74" t="s">
        <v>61</v>
      </c>
      <c r="F19" s="74" t="s">
        <v>70</v>
      </c>
      <c r="G19" s="45"/>
      <c r="H19" s="45"/>
      <c r="I19" s="45"/>
      <c r="J19" s="45"/>
      <c r="K19" s="45"/>
      <c r="L19" s="45"/>
      <c r="M19" s="45"/>
      <c r="N19" s="46"/>
    </row>
    <row r="20" spans="2:14">
      <c r="C20" s="60" t="s">
        <v>58</v>
      </c>
      <c r="D20" s="21">
        <v>20</v>
      </c>
      <c r="E20" s="62" t="s">
        <v>74</v>
      </c>
      <c r="F20" s="62" t="s">
        <v>71</v>
      </c>
      <c r="G20" s="75"/>
      <c r="H20" s="75"/>
      <c r="I20" s="75"/>
      <c r="J20" s="75"/>
      <c r="K20" s="75"/>
      <c r="L20" s="75"/>
      <c r="M20" s="75"/>
      <c r="N20" s="48"/>
    </row>
    <row r="21" spans="2:14">
      <c r="C21" s="17" t="s">
        <v>59</v>
      </c>
      <c r="D21" s="23">
        <f>D10</f>
        <v>0.29599999999999999</v>
      </c>
      <c r="E21" s="61" t="s">
        <v>60</v>
      </c>
      <c r="F21" s="61" t="s">
        <v>68</v>
      </c>
      <c r="G21" s="75"/>
      <c r="H21" s="75"/>
      <c r="I21" s="75"/>
      <c r="J21" s="75"/>
      <c r="K21" s="75"/>
      <c r="L21" s="75"/>
      <c r="M21" s="75"/>
      <c r="N21" s="48"/>
    </row>
    <row r="22" spans="2:14">
      <c r="C22" s="60" t="s">
        <v>62</v>
      </c>
      <c r="D22" s="21">
        <v>10</v>
      </c>
      <c r="E22" s="62" t="s">
        <v>63</v>
      </c>
      <c r="F22" s="63" t="s">
        <v>72</v>
      </c>
      <c r="G22" s="75"/>
      <c r="H22" s="75"/>
      <c r="I22" s="75"/>
      <c r="J22" s="75"/>
      <c r="K22" s="75"/>
      <c r="L22" s="75"/>
      <c r="M22" s="75"/>
      <c r="N22" s="48"/>
    </row>
    <row r="23" spans="2:14">
      <c r="C23" s="17" t="s">
        <v>64</v>
      </c>
      <c r="D23" s="23">
        <v>5</v>
      </c>
      <c r="E23" s="61" t="s">
        <v>65</v>
      </c>
      <c r="F23" s="6" t="s">
        <v>72</v>
      </c>
      <c r="G23" s="75"/>
      <c r="H23" s="75"/>
      <c r="I23" s="75"/>
      <c r="J23" s="75"/>
      <c r="K23" s="75"/>
      <c r="L23" s="75"/>
      <c r="M23" s="75"/>
      <c r="N23" s="48"/>
    </row>
    <row r="24" spans="2:14">
      <c r="C24" s="69" t="s">
        <v>77</v>
      </c>
      <c r="D24" s="71">
        <f>IF(OR(D19="",D20="",D21=""),"-",0.5*D19^2*D20*D21)</f>
        <v>189.44</v>
      </c>
      <c r="E24" s="62" t="s">
        <v>80</v>
      </c>
      <c r="F24" s="63" t="s">
        <v>73</v>
      </c>
      <c r="G24" s="66" t="str">
        <f>IF(OR(D19="",D20="",D21=""),"-","0.5 · " &amp; D19 &amp; "² m² · " &amp; D20 &amp; " kN/m³ · " &amp; D21 &amp; " = " &amp; TEXT(D24,"0.00") &amp; " kN/m")</f>
        <v>0.5 · 8² m² · 20 kN/m³ · 0.296 = 189.44 kN/m</v>
      </c>
      <c r="H24" s="67"/>
      <c r="I24" s="67"/>
      <c r="J24" s="67"/>
      <c r="K24" s="67"/>
      <c r="L24" s="67"/>
      <c r="M24" s="67"/>
      <c r="N24" s="68"/>
    </row>
    <row r="25" spans="2:14">
      <c r="C25" s="70" t="s">
        <v>78</v>
      </c>
      <c r="D25" s="72">
        <f>IF(OR(D19="",D22="",D21=""),"-",D22*D19*D21)</f>
        <v>23.68</v>
      </c>
      <c r="E25" s="61" t="s">
        <v>81</v>
      </c>
      <c r="F25" s="6" t="s">
        <v>73</v>
      </c>
      <c r="G25" s="64" t="str">
        <f>IF(OR(D19="",D22="",D21=""),"-",D22 &amp; " kN/m² · " &amp; D19 &amp; " m · " &amp; D21 &amp; " = " &amp; TEXT(D25,"0.00") &amp; " kN/m")</f>
        <v>10 kN/m² · 8 m · 0.296 = 23.68 kN/m</v>
      </c>
      <c r="H25" s="65"/>
      <c r="I25" s="65"/>
      <c r="J25" s="65"/>
      <c r="K25" s="65"/>
      <c r="L25" s="65"/>
      <c r="M25" s="65"/>
      <c r="N25" s="76"/>
    </row>
    <row r="26" spans="2:14">
      <c r="C26" s="69" t="s">
        <v>79</v>
      </c>
      <c r="D26" s="71">
        <f>IF(OR(D19="",D23="",D21="",D23=0),"-",2*D23*D19*SQRT(D21))</f>
        <v>43.524705627953423</v>
      </c>
      <c r="E26" s="62"/>
      <c r="F26" s="63" t="s">
        <v>73</v>
      </c>
      <c r="G26" s="66" t="str">
        <f>IF(OR(D19="",D23="",D21="",D23=0),"-","2 · " &amp; D23 &amp; " kN/m² · " &amp; D19 &amp; " m · √" &amp; D21 &amp; " = " &amp; TEXT(D26,"0.00") &amp; " kN/m")</f>
        <v>2 · 5 kN/m² · 8 m · √0.296 = 43.52 kN/m</v>
      </c>
      <c r="H26" s="67"/>
      <c r="I26" s="67"/>
      <c r="J26" s="67"/>
      <c r="K26" s="67"/>
      <c r="L26" s="67"/>
      <c r="M26" s="67"/>
      <c r="N26" s="68"/>
    </row>
    <row r="27" spans="2:14" ht="15" thickBot="1">
      <c r="C27" s="77" t="s">
        <v>83</v>
      </c>
      <c r="D27" s="78">
        <f>0.5*D19^2*D20*D21 + D22*D19*D21 - IF(OR(D23="",D23=0),0,2*D23*D19*SQRT(D21))</f>
        <v>169.59529437204657</v>
      </c>
      <c r="E27" s="79"/>
      <c r="F27" s="80" t="s">
        <v>73</v>
      </c>
      <c r="G27" s="81" t="str">
        <f>IF(OR(D19="",D20="",D21="",D22="",D23=""),"-","(½ · " &amp; D19 &amp; "² m² · " &amp; D20 &amp; " kN/m³ · " &amp; D21 &amp; ") + (" &amp; D22 &amp; " kN/m² · " &amp; D19 &amp; " m · " &amp; D21 &amp; ")" &amp; IF(OR(D23="",D23=0),""," − (2 · " &amp; D23 &amp; " kN/m² · " &amp; D19 &amp; " m · √" &amp; D21 &amp; ")") &amp; " = " &amp; TEXT(D27,"0.00") &amp; " kN/m")</f>
        <v>(½ · 8² m² · 20 kN/m³ · 0.296) + (10 kN/m² · 8 m · 0.296) − (2 · 5 kN/m² · 8 m · √0.296) = 169.60 kN/m</v>
      </c>
      <c r="H27" s="82"/>
      <c r="I27" s="82"/>
      <c r="J27" s="82"/>
      <c r="K27" s="82"/>
      <c r="L27" s="82"/>
      <c r="M27" s="82"/>
      <c r="N27" s="83"/>
    </row>
  </sheetData>
  <sheetProtection selectLockedCells="1"/>
  <mergeCells count="10">
    <mergeCell ref="G24:N24"/>
    <mergeCell ref="G18:N18"/>
    <mergeCell ref="G27:N27"/>
    <mergeCell ref="B3:F3"/>
    <mergeCell ref="B11:F11"/>
    <mergeCell ref="E14:G14"/>
    <mergeCell ref="E12:G12"/>
    <mergeCell ref="B17:F17"/>
    <mergeCell ref="G26:N26"/>
    <mergeCell ref="G25:N25"/>
  </mergeCells>
  <hyperlinks>
    <hyperlink ref="J1" r:id="rId1" xr:uid="{DBCD52DC-6ABE-584D-AAAA-8646C3868235}"/>
  </hyperlinks>
  <pageMargins left="0.7" right="0.7" top="0.78740157499999996" bottom="0.78740157499999996" header="0.3" footer="0.3"/>
  <ignoredErrors>
    <ignoredError sqref="D21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5506BEE-D135-434F-8C70-4B39D17B75DD}">
          <x14:formula1>
            <xm:f>Erdrukarten!$A$8:$A$10</xm:f>
          </x14:formula1>
          <xm:sqref>D9 D15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D6 D13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D7:D8</xm:sqref>
        </x14:dataValidation>
        <x14:dataValidation type="list" allowBlank="1" showInputMessage="1" showErrorMessage="1" xr:uid="{DD528D27-5CB6-D64C-8E71-E73BD9326158}">
          <x14:formula1>
            <xm:f>Erdrukarten!$A$1:$A$2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RowHeight="14.4"/>
  <cols>
    <col min="1" max="1" width="25.109375" bestFit="1" customWidth="1"/>
    <col min="2" max="2" width="18.44140625" customWidth="1"/>
    <col min="3" max="3" width="23.33203125" bestFit="1" customWidth="1"/>
  </cols>
  <sheetData>
    <row r="1" spans="1:3">
      <c r="A1" t="s">
        <v>19</v>
      </c>
    </row>
    <row r="2" spans="1:3">
      <c r="A2" t="s">
        <v>20</v>
      </c>
    </row>
    <row r="3" spans="1:3">
      <c r="A3" t="s">
        <v>21</v>
      </c>
    </row>
    <row r="7" spans="1:3">
      <c r="A7" s="13" t="s">
        <v>22</v>
      </c>
      <c r="B7" s="13" t="s">
        <v>23</v>
      </c>
      <c r="C7" s="13" t="s">
        <v>24</v>
      </c>
    </row>
    <row r="8" spans="1:3">
      <c r="A8" s="15" t="s">
        <v>25</v>
      </c>
      <c r="B8" s="15" t="s">
        <v>37</v>
      </c>
      <c r="C8" s="15" t="s">
        <v>26</v>
      </c>
    </row>
    <row r="9" spans="1:3">
      <c r="A9" s="15" t="s">
        <v>27</v>
      </c>
      <c r="B9" s="15" t="s">
        <v>39</v>
      </c>
      <c r="C9" s="15" t="s">
        <v>28</v>
      </c>
    </row>
    <row r="10" spans="1:3">
      <c r="A10" s="15" t="s">
        <v>29</v>
      </c>
      <c r="B10" s="15" t="s">
        <v>38</v>
      </c>
      <c r="C10" s="15" t="s">
        <v>30</v>
      </c>
    </row>
    <row r="11" spans="1:3">
      <c r="A11" s="15"/>
      <c r="B11" s="15"/>
      <c r="C11" s="15"/>
    </row>
    <row r="12" spans="1:3">
      <c r="A12" s="15" t="s">
        <v>31</v>
      </c>
      <c r="B12" s="15" t="s">
        <v>32</v>
      </c>
      <c r="C12" s="15" t="s">
        <v>33</v>
      </c>
    </row>
    <row r="13" spans="1:3">
      <c r="A13" s="15"/>
      <c r="B13" s="15"/>
      <c r="C13" s="15"/>
    </row>
    <row r="14" spans="1:3">
      <c r="A14" s="15" t="s">
        <v>34</v>
      </c>
      <c r="B14" s="15" t="s">
        <v>35</v>
      </c>
      <c r="C14" s="15" t="s">
        <v>36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showGridLines="0" showRowColHeaders="0" zoomScale="113" workbookViewId="0">
      <selection activeCell="P30" sqref="P30"/>
    </sheetView>
  </sheetViews>
  <sheetFormatPr baseColWidth="10" defaultColWidth="8.77734375" defaultRowHeight="14.4"/>
  <cols>
    <col min="4" max="4" width="4.77734375" bestFit="1" customWidth="1"/>
  </cols>
  <sheetData>
    <row r="2" spans="2:31" ht="15.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s="14" t="str">
        <f>W4&amp;W5</f>
        <v>35φ</v>
      </c>
      <c r="X3" s="14" t="str">
        <f t="shared" ref="X3" si="13">X4&amp;X5</f>
        <v>351/3 φ</v>
      </c>
      <c r="Y3" s="14" t="str">
        <f t="shared" ref="Y3" si="14">Y4&amp;Y5</f>
        <v>352/3 φ</v>
      </c>
      <c r="Z3" s="14" t="str">
        <f t="shared" ref="Z3" si="15">Z4&amp;Z5</f>
        <v>37.5φ</v>
      </c>
      <c r="AA3" s="14" t="str">
        <f t="shared" ref="AA3" si="16">AA4&amp;AA5</f>
        <v>37.51/3 φ</v>
      </c>
      <c r="AB3" s="14" t="str">
        <f t="shared" ref="AB3" si="17">AB4&amp;AB5</f>
        <v>37.52/3 φ</v>
      </c>
      <c r="AC3" s="14" t="str">
        <f t="shared" ref="AC3" si="18">AC4&amp;AC5</f>
        <v>40φ</v>
      </c>
      <c r="AD3" s="14" t="str">
        <f t="shared" ref="AD3" si="19">AD4&amp;AD5</f>
        <v>401/3 φ</v>
      </c>
      <c r="AE3" s="14" t="str">
        <f t="shared" ref="AE3" si="20">AE4&amp;AE5</f>
        <v>402/3 φ</v>
      </c>
    </row>
    <row r="4" spans="2:31">
      <c r="B4" s="40" t="s">
        <v>8</v>
      </c>
      <c r="C4" s="4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41"/>
      <c r="C5" s="41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  <c r="Z5" s="10" t="s">
        <v>39</v>
      </c>
      <c r="AA5" s="10" t="s">
        <v>38</v>
      </c>
      <c r="AB5" s="10" t="s">
        <v>37</v>
      </c>
      <c r="AC5" s="10" t="s">
        <v>39</v>
      </c>
      <c r="AD5" s="10" t="s">
        <v>38</v>
      </c>
      <c r="AE5" s="10" t="s">
        <v>37</v>
      </c>
    </row>
    <row r="6" spans="2:31">
      <c r="B6" s="37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38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38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38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39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37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38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38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38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39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37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38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38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38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39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37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38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38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38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39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37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38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38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38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39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sheetProtection algorithmName="SHA-512" hashValue="hqC2RNxH/4JQ1//J8GwaWOVHOadI53M8vv/7bf33JT2GwnAknUwGGULaqiP/vFnuwUyIrDuhIrm78+n9Z5OFZw==" saltValue="vO9btXalMYNrTmIkQm5WmQ==" spinCount="100000" sheet="1" objects="1" scenarios="1"/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RowHeight="14.4"/>
  <cols>
    <col min="4" max="4" width="4.44140625" bestFit="1" customWidth="1"/>
  </cols>
  <sheetData>
    <row r="2" spans="2:25" ht="15.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40" t="s">
        <v>8</v>
      </c>
      <c r="C4" s="4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42"/>
      <c r="C5" s="42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RowHeight="14.4"/>
  <sheetData>
    <row r="2" spans="2:12" ht="15.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Home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Jerry</cp:lastModifiedBy>
  <dcterms:created xsi:type="dcterms:W3CDTF">2025-02-11T15:00:34Z</dcterms:created>
  <dcterms:modified xsi:type="dcterms:W3CDTF">2025-04-24T06:00:36Z</dcterms:modified>
</cp:coreProperties>
</file>